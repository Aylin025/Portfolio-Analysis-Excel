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ymo\Downloads\Aylin\"/>
    </mc:Choice>
  </mc:AlternateContent>
  <xr:revisionPtr revIDLastSave="0" documentId="13_ncr:1_{C6BE79DC-093F-44C4-AC0F-B2C6A7550F88}" xr6:coauthVersionLast="47" xr6:coauthVersionMax="47" xr10:uidLastSave="{00000000-0000-0000-0000-000000000000}"/>
  <bookViews>
    <workbookView xWindow="-108" yWindow="-108" windowWidth="23256" windowHeight="12456" xr2:uid="{91CC44E5-D202-0C47-8FB1-92F464AC8D07}"/>
  </bookViews>
  <sheets>
    <sheet name="Portfolio_Input" sheetId="1" r:id="rId1"/>
    <sheet name="Price_Data" sheetId="2" r:id="rId2"/>
    <sheet name="Returns" sheetId="3" r:id="rId3"/>
    <sheet name="PortfolioReturn" sheetId="7" r:id="rId4"/>
    <sheet name="Summary" sheetId="4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4" i="7" l="1"/>
  <c r="C3" i="4"/>
  <c r="G5" i="7"/>
  <c r="C5" i="4" s="1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4" i="7"/>
  <c r="C4" i="4" s="1"/>
  <c r="C4" i="7"/>
  <c r="C5" i="7"/>
  <c r="C6" i="7"/>
  <c r="C7" i="7"/>
  <c r="F7" i="7" s="1"/>
  <c r="C8" i="7"/>
  <c r="C9" i="7"/>
  <c r="C10" i="7"/>
  <c r="F10" i="7" s="1"/>
  <c r="C11" i="7"/>
  <c r="C12" i="7"/>
  <c r="C13" i="7"/>
  <c r="F13" i="7" s="1"/>
  <c r="C14" i="7"/>
  <c r="C15" i="7"/>
  <c r="C16" i="7"/>
  <c r="C17" i="7"/>
  <c r="C18" i="7"/>
  <c r="C19" i="7"/>
  <c r="C20" i="7"/>
  <c r="C21" i="7"/>
  <c r="C22" i="7"/>
  <c r="C23" i="7"/>
  <c r="C24" i="7"/>
  <c r="C25" i="7"/>
  <c r="F25" i="7" s="1"/>
  <c r="C26" i="7"/>
  <c r="C27" i="7"/>
  <c r="C28" i="7"/>
  <c r="C29" i="7"/>
  <c r="F29" i="7" s="1"/>
  <c r="C30" i="7"/>
  <c r="C31" i="7"/>
  <c r="C32" i="7"/>
  <c r="C33" i="7"/>
  <c r="C34" i="7"/>
  <c r="C35" i="7"/>
  <c r="C36" i="7"/>
  <c r="C37" i="7"/>
  <c r="C38" i="7"/>
  <c r="C39" i="7"/>
  <c r="C40" i="7"/>
  <c r="C41" i="7"/>
  <c r="F41" i="7" s="1"/>
  <c r="C42" i="7"/>
  <c r="C43" i="7"/>
  <c r="C44" i="7"/>
  <c r="C45" i="7"/>
  <c r="C46" i="7"/>
  <c r="F46" i="7" s="1"/>
  <c r="C47" i="7"/>
  <c r="C48" i="7"/>
  <c r="C49" i="7"/>
  <c r="C50" i="7"/>
  <c r="C51" i="7"/>
  <c r="C52" i="7"/>
  <c r="C53" i="7"/>
  <c r="C54" i="7"/>
  <c r="C55" i="7"/>
  <c r="F55" i="7" s="1"/>
  <c r="C56" i="7"/>
  <c r="C57" i="7"/>
  <c r="C58" i="7"/>
  <c r="F58" i="7" s="1"/>
  <c r="C59" i="7"/>
  <c r="C60" i="7"/>
  <c r="C61" i="7"/>
  <c r="F61" i="7" s="1"/>
  <c r="C62" i="7"/>
  <c r="C63" i="7"/>
  <c r="C64" i="7"/>
  <c r="C65" i="7"/>
  <c r="C66" i="7"/>
  <c r="C67" i="7"/>
  <c r="C68" i="7"/>
  <c r="C69" i="7"/>
  <c r="C70" i="7"/>
  <c r="C71" i="7"/>
  <c r="C72" i="7"/>
  <c r="C73" i="7"/>
  <c r="F73" i="7" s="1"/>
  <c r="C74" i="7"/>
  <c r="C75" i="7"/>
  <c r="C76" i="7"/>
  <c r="C77" i="7"/>
  <c r="F77" i="7" s="1"/>
  <c r="C78" i="7"/>
  <c r="C79" i="7"/>
  <c r="C80" i="7"/>
  <c r="C81" i="7"/>
  <c r="C82" i="7"/>
  <c r="C83" i="7"/>
  <c r="C84" i="7"/>
  <c r="C85" i="7"/>
  <c r="C86" i="7"/>
  <c r="C87" i="7"/>
  <c r="C88" i="7"/>
  <c r="C89" i="7"/>
  <c r="F89" i="7" s="1"/>
  <c r="C90" i="7"/>
  <c r="C91" i="7"/>
  <c r="C92" i="7"/>
  <c r="C93" i="7"/>
  <c r="C94" i="7"/>
  <c r="F94" i="7" s="1"/>
  <c r="C95" i="7"/>
  <c r="C96" i="7"/>
  <c r="C97" i="7"/>
  <c r="C98" i="7"/>
  <c r="C99" i="7"/>
  <c r="C100" i="7"/>
  <c r="C101" i="7"/>
  <c r="C102" i="7"/>
  <c r="C103" i="7"/>
  <c r="F103" i="7" s="1"/>
  <c r="C104" i="7"/>
  <c r="C105" i="7"/>
  <c r="C106" i="7"/>
  <c r="F106" i="7" s="1"/>
  <c r="C107" i="7"/>
  <c r="C108" i="7"/>
  <c r="C109" i="7"/>
  <c r="F109" i="7" s="1"/>
  <c r="C110" i="7"/>
  <c r="C111" i="7"/>
  <c r="C112" i="7"/>
  <c r="C113" i="7"/>
  <c r="C114" i="7"/>
  <c r="C115" i="7"/>
  <c r="C116" i="7"/>
  <c r="C117" i="7"/>
  <c r="C118" i="7"/>
  <c r="C119" i="7"/>
  <c r="C120" i="7"/>
  <c r="C121" i="7"/>
  <c r="F121" i="7" s="1"/>
  <c r="C122" i="7"/>
  <c r="C123" i="7"/>
  <c r="C124" i="7"/>
  <c r="C125" i="7"/>
  <c r="F125" i="7" s="1"/>
  <c r="C126" i="7"/>
  <c r="C127" i="7"/>
  <c r="C128" i="7"/>
  <c r="C129" i="7"/>
  <c r="C130" i="7"/>
  <c r="C131" i="7"/>
  <c r="C132" i="7"/>
  <c r="C133" i="7"/>
  <c r="C134" i="7"/>
  <c r="C135" i="7"/>
  <c r="C136" i="7"/>
  <c r="C137" i="7"/>
  <c r="F137" i="7" s="1"/>
  <c r="C138" i="7"/>
  <c r="C139" i="7"/>
  <c r="C140" i="7"/>
  <c r="C141" i="7"/>
  <c r="C142" i="7"/>
  <c r="F142" i="7" s="1"/>
  <c r="C143" i="7"/>
  <c r="C144" i="7"/>
  <c r="C145" i="7"/>
  <c r="C146" i="7"/>
  <c r="C147" i="7"/>
  <c r="C148" i="7"/>
  <c r="C149" i="7"/>
  <c r="C150" i="7"/>
  <c r="C151" i="7"/>
  <c r="F151" i="7" s="1"/>
  <c r="C152" i="7"/>
  <c r="C153" i="7"/>
  <c r="C154" i="7"/>
  <c r="F154" i="7" s="1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F174" i="7" s="1"/>
  <c r="C175" i="7"/>
  <c r="F175" i="7" s="1"/>
  <c r="C176" i="7"/>
  <c r="C177" i="7"/>
  <c r="C178" i="7"/>
  <c r="F178" i="7" s="1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F197" i="7" s="1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F216" i="7" s="1"/>
  <c r="C217" i="7"/>
  <c r="C218" i="7"/>
  <c r="C219" i="7"/>
  <c r="C220" i="7"/>
  <c r="C221" i="7"/>
  <c r="F221" i="7" s="1"/>
  <c r="C222" i="7"/>
  <c r="C223" i="7"/>
  <c r="C224" i="7"/>
  <c r="C225" i="7"/>
  <c r="C226" i="7"/>
  <c r="C227" i="7"/>
  <c r="C228" i="7"/>
  <c r="F228" i="7" s="1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F245" i="7" s="1"/>
  <c r="C246" i="7"/>
  <c r="C247" i="7"/>
  <c r="C248" i="7"/>
  <c r="C249" i="7"/>
  <c r="C250" i="7"/>
  <c r="F250" i="7" s="1"/>
  <c r="C251" i="7"/>
  <c r="C252" i="7"/>
  <c r="C3" i="7"/>
  <c r="E5" i="7"/>
  <c r="E6" i="7"/>
  <c r="F6" i="7" s="1"/>
  <c r="E7" i="7"/>
  <c r="E8" i="7"/>
  <c r="E9" i="7"/>
  <c r="F9" i="7" s="1"/>
  <c r="E10" i="7"/>
  <c r="E11" i="7"/>
  <c r="E12" i="7"/>
  <c r="E13" i="7"/>
  <c r="E14" i="7"/>
  <c r="E15" i="7"/>
  <c r="E16" i="7"/>
  <c r="F16" i="7" s="1"/>
  <c r="E17" i="7"/>
  <c r="E18" i="7"/>
  <c r="F18" i="7" s="1"/>
  <c r="E19" i="7"/>
  <c r="E20" i="7"/>
  <c r="E21" i="7"/>
  <c r="F21" i="7" s="1"/>
  <c r="E22" i="7"/>
  <c r="E23" i="7"/>
  <c r="E24" i="7"/>
  <c r="E25" i="7"/>
  <c r="E26" i="7"/>
  <c r="E27" i="7"/>
  <c r="E28" i="7"/>
  <c r="F28" i="7" s="1"/>
  <c r="E29" i="7"/>
  <c r="E30" i="7"/>
  <c r="F30" i="7" s="1"/>
  <c r="E31" i="7"/>
  <c r="E32" i="7"/>
  <c r="E33" i="7"/>
  <c r="F33" i="7" s="1"/>
  <c r="E34" i="7"/>
  <c r="E35" i="7"/>
  <c r="E36" i="7"/>
  <c r="E37" i="7"/>
  <c r="E38" i="7"/>
  <c r="E39" i="7"/>
  <c r="E40" i="7"/>
  <c r="F40" i="7" s="1"/>
  <c r="E41" i="7"/>
  <c r="E42" i="7"/>
  <c r="F42" i="7" s="1"/>
  <c r="E43" i="7"/>
  <c r="E44" i="7"/>
  <c r="E45" i="7"/>
  <c r="F45" i="7" s="1"/>
  <c r="E46" i="7"/>
  <c r="E47" i="7"/>
  <c r="E48" i="7"/>
  <c r="E49" i="7"/>
  <c r="E50" i="7"/>
  <c r="E51" i="7"/>
  <c r="E52" i="7"/>
  <c r="F52" i="7" s="1"/>
  <c r="E53" i="7"/>
  <c r="E54" i="7"/>
  <c r="F54" i="7" s="1"/>
  <c r="E55" i="7"/>
  <c r="E56" i="7"/>
  <c r="E57" i="7"/>
  <c r="F57" i="7" s="1"/>
  <c r="E58" i="7"/>
  <c r="E59" i="7"/>
  <c r="E60" i="7"/>
  <c r="E61" i="7"/>
  <c r="E62" i="7"/>
  <c r="E63" i="7"/>
  <c r="E64" i="7"/>
  <c r="F64" i="7" s="1"/>
  <c r="E65" i="7"/>
  <c r="E66" i="7"/>
  <c r="F66" i="7" s="1"/>
  <c r="E67" i="7"/>
  <c r="E68" i="7"/>
  <c r="E69" i="7"/>
  <c r="F69" i="7" s="1"/>
  <c r="E70" i="7"/>
  <c r="E71" i="7"/>
  <c r="E72" i="7"/>
  <c r="E73" i="7"/>
  <c r="E74" i="7"/>
  <c r="E75" i="7"/>
  <c r="E76" i="7"/>
  <c r="F76" i="7" s="1"/>
  <c r="E77" i="7"/>
  <c r="E78" i="7"/>
  <c r="F78" i="7" s="1"/>
  <c r="E79" i="7"/>
  <c r="E80" i="7"/>
  <c r="E81" i="7"/>
  <c r="F81" i="7" s="1"/>
  <c r="E82" i="7"/>
  <c r="E83" i="7"/>
  <c r="E84" i="7"/>
  <c r="E85" i="7"/>
  <c r="E86" i="7"/>
  <c r="E87" i="7"/>
  <c r="E88" i="7"/>
  <c r="F88" i="7" s="1"/>
  <c r="E89" i="7"/>
  <c r="E90" i="7"/>
  <c r="F90" i="7" s="1"/>
  <c r="E91" i="7"/>
  <c r="E92" i="7"/>
  <c r="E93" i="7"/>
  <c r="F93" i="7" s="1"/>
  <c r="E94" i="7"/>
  <c r="E95" i="7"/>
  <c r="E96" i="7"/>
  <c r="E97" i="7"/>
  <c r="E98" i="7"/>
  <c r="E99" i="7"/>
  <c r="E100" i="7"/>
  <c r="F100" i="7" s="1"/>
  <c r="E101" i="7"/>
  <c r="E102" i="7"/>
  <c r="F102" i="7" s="1"/>
  <c r="E103" i="7"/>
  <c r="E104" i="7"/>
  <c r="E105" i="7"/>
  <c r="F105" i="7" s="1"/>
  <c r="E106" i="7"/>
  <c r="E107" i="7"/>
  <c r="E108" i="7"/>
  <c r="E109" i="7"/>
  <c r="E110" i="7"/>
  <c r="E111" i="7"/>
  <c r="E112" i="7"/>
  <c r="F112" i="7" s="1"/>
  <c r="E113" i="7"/>
  <c r="E114" i="7"/>
  <c r="F114" i="7" s="1"/>
  <c r="E115" i="7"/>
  <c r="E116" i="7"/>
  <c r="E117" i="7"/>
  <c r="F117" i="7" s="1"/>
  <c r="E118" i="7"/>
  <c r="E119" i="7"/>
  <c r="E120" i="7"/>
  <c r="E121" i="7"/>
  <c r="E122" i="7"/>
  <c r="E123" i="7"/>
  <c r="E124" i="7"/>
  <c r="F124" i="7" s="1"/>
  <c r="E125" i="7"/>
  <c r="E126" i="7"/>
  <c r="F126" i="7" s="1"/>
  <c r="E127" i="7"/>
  <c r="E128" i="7"/>
  <c r="E129" i="7"/>
  <c r="F129" i="7" s="1"/>
  <c r="E130" i="7"/>
  <c r="E131" i="7"/>
  <c r="E132" i="7"/>
  <c r="E133" i="7"/>
  <c r="E134" i="7"/>
  <c r="E135" i="7"/>
  <c r="E136" i="7"/>
  <c r="F136" i="7" s="1"/>
  <c r="E137" i="7"/>
  <c r="E138" i="7"/>
  <c r="F138" i="7" s="1"/>
  <c r="E139" i="7"/>
  <c r="E140" i="7"/>
  <c r="E141" i="7"/>
  <c r="F141" i="7" s="1"/>
  <c r="E142" i="7"/>
  <c r="E143" i="7"/>
  <c r="E144" i="7"/>
  <c r="E145" i="7"/>
  <c r="E146" i="7"/>
  <c r="E147" i="7"/>
  <c r="E148" i="7"/>
  <c r="F148" i="7" s="1"/>
  <c r="E149" i="7"/>
  <c r="E150" i="7"/>
  <c r="F150" i="7" s="1"/>
  <c r="E151" i="7"/>
  <c r="E152" i="7"/>
  <c r="E153" i="7"/>
  <c r="F153" i="7" s="1"/>
  <c r="E154" i="7"/>
  <c r="E155" i="7"/>
  <c r="E156" i="7"/>
  <c r="E157" i="7"/>
  <c r="E158" i="7"/>
  <c r="E159" i="7"/>
  <c r="E160" i="7"/>
  <c r="E161" i="7"/>
  <c r="E162" i="7"/>
  <c r="F162" i="7" s="1"/>
  <c r="E163" i="7"/>
  <c r="F163" i="7" s="1"/>
  <c r="E164" i="7"/>
  <c r="E165" i="7"/>
  <c r="E166" i="7"/>
  <c r="E167" i="7"/>
  <c r="E168" i="7"/>
  <c r="E169" i="7"/>
  <c r="E170" i="7"/>
  <c r="E171" i="7"/>
  <c r="E172" i="7"/>
  <c r="F172" i="7" s="1"/>
  <c r="E173" i="7"/>
  <c r="E174" i="7"/>
  <c r="E175" i="7"/>
  <c r="E176" i="7"/>
  <c r="E177" i="7"/>
  <c r="F177" i="7" s="1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F198" i="7" s="1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F222" i="7" s="1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F246" i="7" s="1"/>
  <c r="E247" i="7"/>
  <c r="E248" i="7"/>
  <c r="E249" i="7"/>
  <c r="E250" i="7"/>
  <c r="E251" i="7"/>
  <c r="E252" i="7"/>
  <c r="E3" i="7"/>
  <c r="E4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 s="1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F187" i="7" s="1"/>
  <c r="D188" i="7"/>
  <c r="D189" i="7"/>
  <c r="D190" i="7"/>
  <c r="D191" i="7"/>
  <c r="D192" i="7"/>
  <c r="D193" i="7"/>
  <c r="D194" i="7"/>
  <c r="D195" i="7"/>
  <c r="D196" i="7"/>
  <c r="D197" i="7"/>
  <c r="D198" i="7"/>
  <c r="D199" i="7"/>
  <c r="F199" i="7" s="1"/>
  <c r="D200" i="7"/>
  <c r="D201" i="7"/>
  <c r="D202" i="7"/>
  <c r="D203" i="7"/>
  <c r="D204" i="7"/>
  <c r="D205" i="7"/>
  <c r="D206" i="7"/>
  <c r="D207" i="7"/>
  <c r="D208" i="7"/>
  <c r="D209" i="7"/>
  <c r="D210" i="7"/>
  <c r="D211" i="7"/>
  <c r="F211" i="7" s="1"/>
  <c r="D212" i="7"/>
  <c r="D213" i="7"/>
  <c r="D214" i="7"/>
  <c r="D215" i="7"/>
  <c r="D216" i="7"/>
  <c r="D217" i="7"/>
  <c r="D218" i="7"/>
  <c r="D219" i="7"/>
  <c r="D220" i="7"/>
  <c r="D221" i="7"/>
  <c r="D222" i="7"/>
  <c r="D223" i="7"/>
  <c r="F223" i="7" s="1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3" i="7"/>
  <c r="F5" i="7"/>
  <c r="F8" i="7"/>
  <c r="F11" i="7"/>
  <c r="F12" i="7"/>
  <c r="F14" i="7"/>
  <c r="F15" i="7"/>
  <c r="F17" i="7"/>
  <c r="F19" i="7"/>
  <c r="F20" i="7"/>
  <c r="F22" i="7"/>
  <c r="F23" i="7"/>
  <c r="F24" i="7"/>
  <c r="F26" i="7"/>
  <c r="F27" i="7"/>
  <c r="F31" i="7"/>
  <c r="F32" i="7"/>
  <c r="F34" i="7"/>
  <c r="F35" i="7"/>
  <c r="F36" i="7"/>
  <c r="F37" i="7"/>
  <c r="F38" i="7"/>
  <c r="F39" i="7"/>
  <c r="F43" i="7"/>
  <c r="F44" i="7"/>
  <c r="F47" i="7"/>
  <c r="F48" i="7"/>
  <c r="F49" i="7"/>
  <c r="F50" i="7"/>
  <c r="F51" i="7"/>
  <c r="F53" i="7"/>
  <c r="F56" i="7"/>
  <c r="F59" i="7"/>
  <c r="F60" i="7"/>
  <c r="F62" i="7"/>
  <c r="F63" i="7"/>
  <c r="F65" i="7"/>
  <c r="F67" i="7"/>
  <c r="F68" i="7"/>
  <c r="F70" i="7"/>
  <c r="F71" i="7"/>
  <c r="F72" i="7"/>
  <c r="F74" i="7"/>
  <c r="F75" i="7"/>
  <c r="F79" i="7"/>
  <c r="F80" i="7"/>
  <c r="F82" i="7"/>
  <c r="F83" i="7"/>
  <c r="F84" i="7"/>
  <c r="F85" i="7"/>
  <c r="F86" i="7"/>
  <c r="F87" i="7"/>
  <c r="F91" i="7"/>
  <c r="F92" i="7"/>
  <c r="F95" i="7"/>
  <c r="F96" i="7"/>
  <c r="F97" i="7"/>
  <c r="F98" i="7"/>
  <c r="F99" i="7"/>
  <c r="F101" i="7"/>
  <c r="F104" i="7"/>
  <c r="F107" i="7"/>
  <c r="F108" i="7"/>
  <c r="F110" i="7"/>
  <c r="F111" i="7"/>
  <c r="F113" i="7"/>
  <c r="F115" i="7"/>
  <c r="F116" i="7"/>
  <c r="F118" i="7"/>
  <c r="F119" i="7"/>
  <c r="F120" i="7"/>
  <c r="F122" i="7"/>
  <c r="F123" i="7"/>
  <c r="F127" i="7"/>
  <c r="F128" i="7"/>
  <c r="F130" i="7"/>
  <c r="F131" i="7"/>
  <c r="F132" i="7"/>
  <c r="F133" i="7"/>
  <c r="F134" i="7"/>
  <c r="F135" i="7"/>
  <c r="F139" i="7"/>
  <c r="F140" i="7"/>
  <c r="F143" i="7"/>
  <c r="F144" i="7"/>
  <c r="F145" i="7"/>
  <c r="F146" i="7"/>
  <c r="F147" i="7"/>
  <c r="F149" i="7"/>
  <c r="F152" i="7"/>
  <c r="F155" i="7"/>
  <c r="F156" i="7"/>
  <c r="F158" i="7"/>
  <c r="F159" i="7"/>
  <c r="F160" i="7"/>
  <c r="F161" i="7"/>
  <c r="F166" i="7"/>
  <c r="F167" i="7"/>
  <c r="F168" i="7"/>
  <c r="F170" i="7"/>
  <c r="F173" i="7"/>
  <c r="F176" i="7"/>
  <c r="F179" i="7"/>
  <c r="F180" i="7"/>
  <c r="F182" i="7"/>
  <c r="F185" i="7"/>
  <c r="F186" i="7"/>
  <c r="F190" i="7"/>
  <c r="F191" i="7"/>
  <c r="F192" i="7"/>
  <c r="F194" i="7"/>
  <c r="F202" i="7"/>
  <c r="F203" i="7"/>
  <c r="F204" i="7"/>
  <c r="F206" i="7"/>
  <c r="F209" i="7"/>
  <c r="F210" i="7"/>
  <c r="F214" i="7"/>
  <c r="F215" i="7"/>
  <c r="F218" i="7"/>
  <c r="F226" i="7"/>
  <c r="F227" i="7"/>
  <c r="F230" i="7"/>
  <c r="F233" i="7"/>
  <c r="F234" i="7"/>
  <c r="F238" i="7"/>
  <c r="F239" i="7"/>
  <c r="F240" i="7"/>
  <c r="F242" i="7"/>
  <c r="F251" i="7"/>
  <c r="F252" i="7"/>
  <c r="E3" i="4"/>
  <c r="D3" i="4"/>
  <c r="E2" i="4"/>
  <c r="D2" i="4"/>
  <c r="C2" i="4"/>
  <c r="F235" i="7" l="1"/>
  <c r="F243" i="7"/>
  <c r="F231" i="7"/>
  <c r="F219" i="7"/>
  <c r="F207" i="7"/>
  <c r="F195" i="7"/>
  <c r="F183" i="7"/>
  <c r="F171" i="7"/>
  <c r="F247" i="7"/>
  <c r="F208" i="7"/>
  <c r="F244" i="7"/>
  <c r="F220" i="7"/>
  <c r="F184" i="7"/>
  <c r="F157" i="7"/>
  <c r="F196" i="7"/>
  <c r="F232" i="7"/>
  <c r="F241" i="7"/>
  <c r="F229" i="7"/>
  <c r="F217" i="7"/>
  <c r="F205" i="7"/>
  <c r="F193" i="7"/>
  <c r="F181" i="7"/>
  <c r="F169" i="7"/>
  <c r="F237" i="7"/>
  <c r="F249" i="7"/>
  <c r="F225" i="7"/>
  <c r="F213" i="7"/>
  <c r="F201" i="7"/>
  <c r="F189" i="7"/>
  <c r="F248" i="7"/>
  <c r="F236" i="7"/>
  <c r="F224" i="7"/>
  <c r="F212" i="7"/>
  <c r="F200" i="7"/>
  <c r="F188" i="7"/>
  <c r="F3" i="7"/>
  <c r="F164" i="7"/>
  <c r="D165" i="7"/>
  <c r="F165" i="7" s="1"/>
</calcChain>
</file>

<file path=xl/sharedStrings.xml><?xml version="1.0" encoding="utf-8"?>
<sst xmlns="http://schemas.openxmlformats.org/spreadsheetml/2006/main" count="491" uniqueCount="173">
  <si>
    <t>CSV File Path</t>
  </si>
  <si>
    <t xml:space="preserve">Portfolio </t>
  </si>
  <si>
    <t>Ticker</t>
  </si>
  <si>
    <t>Shares</t>
  </si>
  <si>
    <t>C:\Users\arymo\Downloads\Aylin\stock_data.csv</t>
  </si>
  <si>
    <t>NASDAQ:AAPL</t>
  </si>
  <si>
    <t>NASDAQ: NVDA</t>
  </si>
  <si>
    <t>NASDAQ: MSFT</t>
  </si>
  <si>
    <t>Date</t>
  </si>
  <si>
    <t>Close</t>
  </si>
  <si>
    <t>13/01/2025 16:00:00</t>
  </si>
  <si>
    <t>14/01/2025 16:00:00</t>
  </si>
  <si>
    <t>15/01/2025 16:00:00</t>
  </si>
  <si>
    <t>16/01/2025 16:00:00</t>
  </si>
  <si>
    <t>17/01/2025 16:00:00</t>
  </si>
  <si>
    <t>21/01/2025 16:00:00</t>
  </si>
  <si>
    <t>22/01/2025 16:00:00</t>
  </si>
  <si>
    <t>23/01/2025 16:00:00</t>
  </si>
  <si>
    <t>24/01/2025 16:00:00</t>
  </si>
  <si>
    <t>27/01/2025 16:00:00</t>
  </si>
  <si>
    <t>28/01/2025 16:00:00</t>
  </si>
  <si>
    <t>29/01/2025 16:00:00</t>
  </si>
  <si>
    <t>30/01/2025 16:00:00</t>
  </si>
  <si>
    <t>31/01/2025 16:00:00</t>
  </si>
  <si>
    <t>13/02/2025 16:00:00</t>
  </si>
  <si>
    <t>14/02/2025 16:00:00</t>
  </si>
  <si>
    <t>18/02/2025 16:00:00</t>
  </si>
  <si>
    <t>19/02/2025 16:00:00</t>
  </si>
  <si>
    <t>20/02/2025 16:00:00</t>
  </si>
  <si>
    <t>21/02/2025 16:00:00</t>
  </si>
  <si>
    <t>24/02/2025 16:00:00</t>
  </si>
  <si>
    <t>25/02/2025 16:00:00</t>
  </si>
  <si>
    <t>26/02/2025 16:00:00</t>
  </si>
  <si>
    <t>27/02/2025 16:00:00</t>
  </si>
  <si>
    <t>28/02/2025 16:00:00</t>
  </si>
  <si>
    <t>13/03/2025 16:00:00</t>
  </si>
  <si>
    <t>14/03/2025 16:00:00</t>
  </si>
  <si>
    <t>17/03/2025 16:00:00</t>
  </si>
  <si>
    <t>18/03/2025 16:00:00</t>
  </si>
  <si>
    <t>19/03/2025 16:00:00</t>
  </si>
  <si>
    <t>20/03/2025 16:00:00</t>
  </si>
  <si>
    <t>21/03/2025 16:00:00</t>
  </si>
  <si>
    <t>24/03/2025 16:00:00</t>
  </si>
  <si>
    <t>25/03/2025 16:00:00</t>
  </si>
  <si>
    <t>26/03/2025 16:00:00</t>
  </si>
  <si>
    <t>27/03/2025 16:00:00</t>
  </si>
  <si>
    <t>28/03/2025 16:00:00</t>
  </si>
  <si>
    <t>31/03/2025 16:00:00</t>
  </si>
  <si>
    <t>14/04/2025 16:00:00</t>
  </si>
  <si>
    <t>15/04/2025 16:00:00</t>
  </si>
  <si>
    <t>16/04/2025 16:00:00</t>
  </si>
  <si>
    <t>17/04/2025 16:00:00</t>
  </si>
  <si>
    <t>21/04/2025 16:00:00</t>
  </si>
  <si>
    <t>22/04/2025 16:00:00</t>
  </si>
  <si>
    <t>23/04/2025 16:00:00</t>
  </si>
  <si>
    <t>24/04/2025 16:00:00</t>
  </si>
  <si>
    <t>25/04/2025 16:00:00</t>
  </si>
  <si>
    <t>28/04/2025 16:00:00</t>
  </si>
  <si>
    <t>29/04/2025 16:00:00</t>
  </si>
  <si>
    <t>30/04/2025 16:00:00</t>
  </si>
  <si>
    <t>13/05/2025 16:00:00</t>
  </si>
  <si>
    <t>14/05/2025 16:00:00</t>
  </si>
  <si>
    <t>15/05/2025 16:00:00</t>
  </si>
  <si>
    <t>16/05/2025 16:00:00</t>
  </si>
  <si>
    <t>19/05/2025 16:00:00</t>
  </si>
  <si>
    <t>20/05/2025 16:00:00</t>
  </si>
  <si>
    <t>21/05/2025 16:00:00</t>
  </si>
  <si>
    <t>22/05/2025 16:00:00</t>
  </si>
  <si>
    <t>23/05/2025 16:00:00</t>
  </si>
  <si>
    <t>27/05/2025 16:00:00</t>
  </si>
  <si>
    <t>28/05/2025 16:00:00</t>
  </si>
  <si>
    <t>29/05/2025 16:00:00</t>
  </si>
  <si>
    <t>30/05/2025 16:00:00</t>
  </si>
  <si>
    <t>13/06/2025 16:00:00</t>
  </si>
  <si>
    <t>16/06/2025 16:00:00</t>
  </si>
  <si>
    <t>17/06/2025 16:00:00</t>
  </si>
  <si>
    <t>18/06/2025 16:00:00</t>
  </si>
  <si>
    <t>20/06/2025 16:00:00</t>
  </si>
  <si>
    <t>23/06/2025 16:00:00</t>
  </si>
  <si>
    <t>24/06/2025 16:00:00</t>
  </si>
  <si>
    <t>25/06/2025 16:00:00</t>
  </si>
  <si>
    <t>26/06/2025 16:00:00</t>
  </si>
  <si>
    <t>27/06/2025 16:00:00</t>
  </si>
  <si>
    <t>30/06/2025 16:00:00</t>
  </si>
  <si>
    <t>14/07/2025 16:00:00</t>
  </si>
  <si>
    <t>15/07/2025 16:00:00</t>
  </si>
  <si>
    <t>16/07/2025 16:00:00</t>
  </si>
  <si>
    <t>17/07/2025 16:00:00</t>
  </si>
  <si>
    <t>18/07/2025 16:00:00</t>
  </si>
  <si>
    <t>21/07/2025 16:00:00</t>
  </si>
  <si>
    <t>22/07/2025 16:00:00</t>
  </si>
  <si>
    <t>23/07/2025 16:00:00</t>
  </si>
  <si>
    <t>24/07/2025 16:00:00</t>
  </si>
  <si>
    <t>25/07/2025 16:00:00</t>
  </si>
  <si>
    <t>28/07/2025 16:00:00</t>
  </si>
  <si>
    <t>29/07/2025 16:00:00</t>
  </si>
  <si>
    <t>30/07/2025 16:00:00</t>
  </si>
  <si>
    <t>31/07/2025 16:00:00</t>
  </si>
  <si>
    <t>13/08/2025 16:00:00</t>
  </si>
  <si>
    <t>14/08/2025 16:00:00</t>
  </si>
  <si>
    <t>15/08/2025 16:00:00</t>
  </si>
  <si>
    <t>18/08/2025 16:00:00</t>
  </si>
  <si>
    <t>19/08/2025 16:00:00</t>
  </si>
  <si>
    <t>20/08/2025 16:00:00</t>
  </si>
  <si>
    <t>21/08/2025 16:00:00</t>
  </si>
  <si>
    <t>22/08/2025 16:00:00</t>
  </si>
  <si>
    <t>25/08/2025 16:00:00</t>
  </si>
  <si>
    <t>28/08/2025 16:00:00</t>
  </si>
  <si>
    <t>26/08/2025 16:00:00</t>
  </si>
  <si>
    <t>29/08/2025 16:00:00</t>
  </si>
  <si>
    <t>27/08/2025 16:00:00</t>
  </si>
  <si>
    <t>15/09/2025 16:00:00</t>
  </si>
  <si>
    <t>16/09/2025 16:00:00</t>
  </si>
  <si>
    <t>17/09/2025 16:00:00</t>
  </si>
  <si>
    <t>18/09/2025 16:00:00</t>
  </si>
  <si>
    <t>19/09/2025 16:00:00</t>
  </si>
  <si>
    <t>22/09/2025 16:00:00</t>
  </si>
  <si>
    <t>23/09/2025 16:00:00</t>
  </si>
  <si>
    <t>24/09/2025 16:00:00</t>
  </si>
  <si>
    <t>25/09/2025 16:00:00</t>
  </si>
  <si>
    <t>26/09/2025 16:00:00</t>
  </si>
  <si>
    <t>29/09/2025 16:00:00</t>
  </si>
  <si>
    <t>30/09/2025 16:00:00</t>
  </si>
  <si>
    <t>13/10/2025 16:00:00</t>
  </si>
  <si>
    <t>14/10/2025 16:00:00</t>
  </si>
  <si>
    <t>15/10/2025 16:00:00</t>
  </si>
  <si>
    <t>16/10/2025 16:00:00</t>
  </si>
  <si>
    <t>17/10/2025 16:00:00</t>
  </si>
  <si>
    <t>20/10/2025 16:00:00</t>
  </si>
  <si>
    <t>21/10/2025 16:00:00</t>
  </si>
  <si>
    <t>22/10/2025 16:00:00</t>
  </si>
  <si>
    <t>23/10/2025 16:00:00</t>
  </si>
  <si>
    <t>24/10/2025 16:00:00</t>
  </si>
  <si>
    <t>27/10/2025 16:00:00</t>
  </si>
  <si>
    <t>28/10/2025 16:00:00</t>
  </si>
  <si>
    <t>29/10/2025 16:00:00</t>
  </si>
  <si>
    <t>30/10/2025 16:00:00</t>
  </si>
  <si>
    <t>31/10/2025 16:00:00</t>
  </si>
  <si>
    <t>13/11/2025 16:00:00</t>
  </si>
  <si>
    <t>14/11/2025 16:00:00</t>
  </si>
  <si>
    <t>17/11/2025 16:00:00</t>
  </si>
  <si>
    <t>18/11/2025 16:00:00</t>
  </si>
  <si>
    <t>19/11/2025 16:00:00</t>
  </si>
  <si>
    <t>20/11/2025 16:00:00</t>
  </si>
  <si>
    <t>21/11/2025 16:00:00</t>
  </si>
  <si>
    <t>24/11/2025 16:00:00</t>
  </si>
  <si>
    <t>25/11/2025 16:00:00</t>
  </si>
  <si>
    <t>26/11/2025 16:00:00</t>
  </si>
  <si>
    <t>28/11/2025 13:05:00</t>
  </si>
  <si>
    <t>15/12/2025 16:00:00</t>
  </si>
  <si>
    <t>16/12/2025 16:00:00</t>
  </si>
  <si>
    <t>17/12/2025 16:00:00</t>
  </si>
  <si>
    <t>18/12/2025 16:00:00</t>
  </si>
  <si>
    <t>19/12/2025 16:00:00</t>
  </si>
  <si>
    <t>22/12/2025 16:00:00</t>
  </si>
  <si>
    <t>23/12/2025 16:00:00</t>
  </si>
  <si>
    <t>24/12/2025 13:05:00</t>
  </si>
  <si>
    <t>26/12/2025 16:00:00</t>
  </si>
  <si>
    <t>29/12/2025 16:00:00</t>
  </si>
  <si>
    <t>30/12/2025 16:00:00</t>
  </si>
  <si>
    <t>31/12/2025 16:00:00</t>
  </si>
  <si>
    <t>Returns</t>
  </si>
  <si>
    <t>AAPL</t>
  </si>
  <si>
    <t>MSFT</t>
  </si>
  <si>
    <t>NVDA</t>
  </si>
  <si>
    <t>Portfolio expected return (weighted average)</t>
  </si>
  <si>
    <t>Portfolio volatility using standard deviation</t>
  </si>
  <si>
    <t>Average return for each asset annualized</t>
  </si>
  <si>
    <t>Std for each asset annualized</t>
  </si>
  <si>
    <t>Stock Price</t>
  </si>
  <si>
    <t>PortfolioValue</t>
  </si>
  <si>
    <t>DailyReturn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</si>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</sst>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6" x14ac:knownFonts="1">
    <font>
      <sz val="12"/>
      <color theme="1"/>
      <name val="Aptos Narrow"/>
      <family val="2"/>
      <scheme val="minor"/>
    </font>
    <font>
      <sz val="11"/>
      <color rgb="FF000000"/>
      <name val="Arial"/>
      <family val="2"/>
    </font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b/>
      <sz val="12"/>
      <color rgb="FF000000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vertical="center" readingOrder="1"/>
    </xf>
    <xf numFmtId="0" fontId="1" fillId="0" borderId="0" xfId="0" applyFont="1"/>
    <xf numFmtId="22" fontId="0" fillId="0" borderId="0" xfId="0" applyNumberFormat="1"/>
    <xf numFmtId="0" fontId="0" fillId="0" borderId="0" xfId="0" applyFont="1"/>
    <xf numFmtId="0" fontId="3" fillId="0" borderId="0" xfId="0" applyFont="1"/>
    <xf numFmtId="9" fontId="0" fillId="0" borderId="0" xfId="2" applyFont="1"/>
    <xf numFmtId="14" fontId="0" fillId="0" borderId="0" xfId="0" applyNumberFormat="1"/>
    <xf numFmtId="10" fontId="0" fillId="0" borderId="0" xfId="2" applyNumberFormat="1" applyFont="1"/>
    <xf numFmtId="43" fontId="0" fillId="0" borderId="0" xfId="1" applyFont="1"/>
    <xf numFmtId="0" fontId="0" fillId="0" borderId="1" xfId="0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83820</xdr:colOff>
      <xdr:row>0</xdr:row>
      <xdr:rowOff>99060</xdr:rowOff>
    </xdr:from>
    <xdr:to>
      <xdr:col>8</xdr:col>
      <xdr:colOff>137160</xdr:colOff>
      <xdr:row>1</xdr:row>
      <xdr:rowOff>144780</xdr:rowOff>
    </xdr:to>
    <xdr:sp macro="[0]!ImportPriceData" textlink="">
      <xdr:nvSpPr>
        <xdr:cNvPr id="2" name="Rectangle 1">
          <a:extLst>
            <a:ext uri="{FF2B5EF4-FFF2-40B4-BE49-F238E27FC236}">
              <a16:creationId xmlns:a16="http://schemas.microsoft.com/office/drawing/2014/main" id="{752AB241-0CA4-C72D-5425-92B35B57CA7C}"/>
            </a:ext>
          </a:extLst>
        </xdr:cNvPr>
        <xdr:cNvSpPr/>
      </xdr:nvSpPr>
      <xdr:spPr>
        <a:xfrm>
          <a:off x="5113020" y="99060"/>
          <a:ext cx="1729740" cy="2438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Import</a:t>
          </a:r>
          <a:r>
            <a:rPr lang="en-US" sz="1100" b="1" baseline="0"/>
            <a:t> File to Price Data</a:t>
          </a:r>
          <a:endParaRPr lang="en-US" sz="1100" b="1"/>
        </a:p>
      </xdr:txBody>
    </xdr:sp>
    <xdr:clientData/>
  </xdr:twoCellAnchor>
  <xdr:twoCellAnchor>
    <xdr:from>
      <xdr:col>6</xdr:col>
      <xdr:colOff>91440</xdr:colOff>
      <xdr:row>2</xdr:row>
      <xdr:rowOff>83820</xdr:rowOff>
    </xdr:from>
    <xdr:to>
      <xdr:col>8</xdr:col>
      <xdr:colOff>144780</xdr:colOff>
      <xdr:row>3</xdr:row>
      <xdr:rowOff>129540</xdr:rowOff>
    </xdr:to>
    <xdr:sp macro="[0]!CalculateDailyReturns" textlink="">
      <xdr:nvSpPr>
        <xdr:cNvPr id="3" name="Rectangle 2">
          <a:extLst>
            <a:ext uri="{FF2B5EF4-FFF2-40B4-BE49-F238E27FC236}">
              <a16:creationId xmlns:a16="http://schemas.microsoft.com/office/drawing/2014/main" id="{9B53B922-2967-4F17-8B48-7E45E1D4A019}"/>
            </a:ext>
          </a:extLst>
        </xdr:cNvPr>
        <xdr:cNvSpPr/>
      </xdr:nvSpPr>
      <xdr:spPr>
        <a:xfrm>
          <a:off x="5120640" y="480060"/>
          <a:ext cx="1729740" cy="2438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Calculate Returns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9F1-4747-804B-BBB8-606279CF4514}">
  <sheetPr codeName="Sheet1"/>
  <dimension ref="A1:F6"/>
  <sheetViews>
    <sheetView tabSelected="1" workbookViewId="0">
      <selection activeCell="D8" sqref="D8"/>
    </sheetView>
  </sheetViews>
  <sheetFormatPr defaultColWidth="11" defaultRowHeight="15.6" x14ac:dyDescent="0.3"/>
  <cols>
    <col min="1" max="1" width="12.5" customWidth="1"/>
  </cols>
  <sheetData>
    <row r="1" spans="1:6" x14ac:dyDescent="0.3">
      <c r="A1" s="4" t="s">
        <v>0</v>
      </c>
      <c r="B1" s="5" t="s">
        <v>4</v>
      </c>
      <c r="C1" s="4"/>
      <c r="D1" s="4"/>
      <c r="E1" s="4"/>
      <c r="F1" s="4"/>
    </row>
    <row r="2" spans="1:6" x14ac:dyDescent="0.3">
      <c r="A2" s="4"/>
      <c r="E2" s="4"/>
      <c r="F2" s="4"/>
    </row>
    <row r="3" spans="1:6" x14ac:dyDescent="0.3">
      <c r="A3" s="4"/>
      <c r="B3" s="4" t="s">
        <v>1</v>
      </c>
      <c r="C3" s="4"/>
      <c r="D3" s="4"/>
      <c r="E3" s="4"/>
      <c r="F3" s="4"/>
    </row>
    <row r="4" spans="1:6" x14ac:dyDescent="0.3">
      <c r="A4" s="4"/>
      <c r="B4" s="12" t="s">
        <v>2</v>
      </c>
      <c r="C4" s="13" t="s">
        <v>162</v>
      </c>
      <c r="D4" s="13" t="s">
        <v>164</v>
      </c>
      <c r="E4" s="13" t="s">
        <v>163</v>
      </c>
    </row>
    <row r="5" spans="1:6" x14ac:dyDescent="0.3">
      <c r="A5" s="4"/>
      <c r="B5" s="11" t="s">
        <v>3</v>
      </c>
      <c r="C5" s="10">
        <v>15</v>
      </c>
      <c r="D5" s="10">
        <v>25</v>
      </c>
      <c r="E5" s="10">
        <v>60</v>
      </c>
    </row>
    <row r="6" spans="1:6" x14ac:dyDescent="0.3">
      <c r="B6" s="5"/>
      <c r="C6" s="6"/>
      <c r="D6" s="6"/>
      <c r="E6" s="6"/>
      <c r="F6" s="6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4E070-7DC6-4D47-877D-2BD2FB1503C7}">
  <sheetPr codeName="Sheet3"/>
  <dimension ref="A1:F252"/>
  <sheetViews>
    <sheetView workbookViewId="0">
      <selection activeCell="E1" sqref="E1:F1048576"/>
    </sheetView>
  </sheetViews>
  <sheetFormatPr defaultColWidth="11" defaultRowHeight="15.6" x14ac:dyDescent="0.3"/>
  <cols>
    <col min="1" max="1" width="12.69921875" bestFit="1" customWidth="1"/>
    <col min="2" max="2" width="9" customWidth="1"/>
    <col min="3" max="3" width="13.796875" bestFit="1" customWidth="1"/>
    <col min="4" max="4" width="6.8984375" bestFit="1" customWidth="1"/>
    <col min="5" max="5" width="13.296875" bestFit="1" customWidth="1"/>
    <col min="6" max="6" width="6.8984375" bestFit="1" customWidth="1"/>
  </cols>
  <sheetData>
    <row r="1" spans="1:6" x14ac:dyDescent="0.3">
      <c r="A1" t="s">
        <v>5</v>
      </c>
      <c r="C1" t="s">
        <v>6</v>
      </c>
      <c r="E1" t="s">
        <v>7</v>
      </c>
    </row>
    <row r="2" spans="1:6" x14ac:dyDescent="0.3">
      <c r="A2" t="s">
        <v>8</v>
      </c>
      <c r="B2" t="s">
        <v>9</v>
      </c>
      <c r="C2" t="s">
        <v>8</v>
      </c>
      <c r="D2" t="s">
        <v>9</v>
      </c>
      <c r="E2" t="s">
        <v>8</v>
      </c>
      <c r="F2" t="s">
        <v>9</v>
      </c>
    </row>
    <row r="3" spans="1:6" x14ac:dyDescent="0.3">
      <c r="A3" s="7">
        <v>45659</v>
      </c>
      <c r="B3">
        <v>243.85</v>
      </c>
      <c r="C3" s="7">
        <v>45659</v>
      </c>
      <c r="D3">
        <v>138.31</v>
      </c>
      <c r="E3" s="7">
        <v>45659</v>
      </c>
      <c r="F3">
        <v>418.58</v>
      </c>
    </row>
    <row r="4" spans="1:6" x14ac:dyDescent="0.3">
      <c r="A4" s="7">
        <v>45660</v>
      </c>
      <c r="B4">
        <v>243.36</v>
      </c>
      <c r="C4" s="7">
        <v>45660</v>
      </c>
      <c r="D4">
        <v>144.47</v>
      </c>
      <c r="E4" s="7">
        <v>45660</v>
      </c>
      <c r="F4">
        <v>423.35</v>
      </c>
    </row>
    <row r="5" spans="1:6" x14ac:dyDescent="0.3">
      <c r="A5" s="7">
        <v>45663</v>
      </c>
      <c r="B5">
        <v>245</v>
      </c>
      <c r="C5" s="7">
        <v>45663</v>
      </c>
      <c r="D5">
        <v>149.43</v>
      </c>
      <c r="E5" s="7">
        <v>45663</v>
      </c>
      <c r="F5">
        <v>427.85</v>
      </c>
    </row>
    <row r="6" spans="1:6" x14ac:dyDescent="0.3">
      <c r="A6" s="7">
        <v>45664</v>
      </c>
      <c r="B6">
        <v>242.21</v>
      </c>
      <c r="C6" s="7">
        <v>45664</v>
      </c>
      <c r="D6">
        <v>140.13999999999999</v>
      </c>
      <c r="E6" s="7">
        <v>45664</v>
      </c>
      <c r="F6">
        <v>422.37</v>
      </c>
    </row>
    <row r="7" spans="1:6" x14ac:dyDescent="0.3">
      <c r="A7" s="7">
        <v>45665</v>
      </c>
      <c r="B7">
        <v>242.7</v>
      </c>
      <c r="C7" s="7">
        <v>45665</v>
      </c>
      <c r="D7">
        <v>140.11000000000001</v>
      </c>
      <c r="E7" s="7">
        <v>45665</v>
      </c>
      <c r="F7">
        <v>424.56</v>
      </c>
    </row>
    <row r="8" spans="1:6" x14ac:dyDescent="0.3">
      <c r="A8" s="7">
        <v>45667</v>
      </c>
      <c r="B8">
        <v>236.85</v>
      </c>
      <c r="C8" s="7">
        <v>45667</v>
      </c>
      <c r="D8">
        <v>135.91</v>
      </c>
      <c r="E8" s="7">
        <v>45667</v>
      </c>
      <c r="F8">
        <v>418.95</v>
      </c>
    </row>
    <row r="9" spans="1:6" x14ac:dyDescent="0.3">
      <c r="A9" s="7">
        <v>45670</v>
      </c>
      <c r="B9">
        <v>234.4</v>
      </c>
      <c r="C9" s="7">
        <v>45670</v>
      </c>
      <c r="D9">
        <v>133.22999999999999</v>
      </c>
      <c r="E9" s="7">
        <v>45670</v>
      </c>
      <c r="F9">
        <v>417.19</v>
      </c>
    </row>
    <row r="10" spans="1:6" x14ac:dyDescent="0.3">
      <c r="A10" s="7">
        <v>45671</v>
      </c>
      <c r="B10">
        <v>233.28</v>
      </c>
      <c r="C10" s="7">
        <v>45671</v>
      </c>
      <c r="D10">
        <v>131.76</v>
      </c>
      <c r="E10" s="7">
        <v>45671</v>
      </c>
      <c r="F10">
        <v>415.67</v>
      </c>
    </row>
    <row r="11" spans="1:6" x14ac:dyDescent="0.3">
      <c r="A11" s="7">
        <v>45672</v>
      </c>
      <c r="B11">
        <v>237.87</v>
      </c>
      <c r="C11" s="7">
        <v>45672</v>
      </c>
      <c r="D11">
        <v>136.24</v>
      </c>
      <c r="E11" s="7">
        <v>45672</v>
      </c>
      <c r="F11">
        <v>426.31</v>
      </c>
    </row>
    <row r="12" spans="1:6" x14ac:dyDescent="0.3">
      <c r="A12" s="7">
        <v>45673</v>
      </c>
      <c r="B12">
        <v>228.26</v>
      </c>
      <c r="C12" s="7">
        <v>45673</v>
      </c>
      <c r="D12">
        <v>133.57</v>
      </c>
      <c r="E12" s="7">
        <v>45673</v>
      </c>
      <c r="F12">
        <v>424.58</v>
      </c>
    </row>
    <row r="13" spans="1:6" x14ac:dyDescent="0.3">
      <c r="A13" s="7">
        <v>45674</v>
      </c>
      <c r="B13">
        <v>229.98</v>
      </c>
      <c r="C13" s="7">
        <v>45674</v>
      </c>
      <c r="D13">
        <v>137.71</v>
      </c>
      <c r="E13" s="7">
        <v>45674</v>
      </c>
      <c r="F13">
        <v>429.03</v>
      </c>
    </row>
    <row r="14" spans="1:6" x14ac:dyDescent="0.3">
      <c r="A14" s="7">
        <v>45678</v>
      </c>
      <c r="B14">
        <v>222.64</v>
      </c>
      <c r="C14" s="7">
        <v>45678</v>
      </c>
      <c r="D14">
        <v>140.83000000000001</v>
      </c>
      <c r="E14" s="7">
        <v>45678</v>
      </c>
      <c r="F14">
        <v>428.5</v>
      </c>
    </row>
    <row r="15" spans="1:6" x14ac:dyDescent="0.3">
      <c r="A15" s="7">
        <v>45679</v>
      </c>
      <c r="B15">
        <v>223.83</v>
      </c>
      <c r="C15" s="7">
        <v>45679</v>
      </c>
      <c r="D15">
        <v>147.07</v>
      </c>
      <c r="E15" s="7">
        <v>45679</v>
      </c>
      <c r="F15">
        <v>446.2</v>
      </c>
    </row>
    <row r="16" spans="1:6" x14ac:dyDescent="0.3">
      <c r="A16" s="7">
        <v>45680</v>
      </c>
      <c r="B16">
        <v>223.66</v>
      </c>
      <c r="C16" s="7">
        <v>45680</v>
      </c>
      <c r="D16">
        <v>147.22</v>
      </c>
      <c r="E16" s="7">
        <v>45680</v>
      </c>
      <c r="F16">
        <v>446.71</v>
      </c>
    </row>
    <row r="17" spans="1:6" x14ac:dyDescent="0.3">
      <c r="A17" s="7">
        <v>45681</v>
      </c>
      <c r="B17">
        <v>222.78</v>
      </c>
      <c r="C17" s="7">
        <v>45681</v>
      </c>
      <c r="D17">
        <v>142.62</v>
      </c>
      <c r="E17" s="7">
        <v>45681</v>
      </c>
      <c r="F17">
        <v>444.06</v>
      </c>
    </row>
    <row r="18" spans="1:6" x14ac:dyDescent="0.3">
      <c r="A18" s="7">
        <v>45684</v>
      </c>
      <c r="B18">
        <v>229.86</v>
      </c>
      <c r="C18" s="7">
        <v>45684</v>
      </c>
      <c r="D18">
        <v>118.42</v>
      </c>
      <c r="E18" s="7">
        <v>45684</v>
      </c>
      <c r="F18">
        <v>434.56</v>
      </c>
    </row>
    <row r="19" spans="1:6" x14ac:dyDescent="0.3">
      <c r="A19" s="7">
        <v>45685</v>
      </c>
      <c r="B19">
        <v>238.26</v>
      </c>
      <c r="C19" s="7">
        <v>45685</v>
      </c>
      <c r="D19">
        <v>128.99</v>
      </c>
      <c r="E19" s="7">
        <v>45685</v>
      </c>
      <c r="F19">
        <v>447.2</v>
      </c>
    </row>
    <row r="20" spans="1:6" x14ac:dyDescent="0.3">
      <c r="A20" s="7">
        <v>45686</v>
      </c>
      <c r="B20">
        <v>239.36</v>
      </c>
      <c r="C20" s="7">
        <v>45686</v>
      </c>
      <c r="D20">
        <v>123.7</v>
      </c>
      <c r="E20" s="7">
        <v>45686</v>
      </c>
      <c r="F20">
        <v>442.33</v>
      </c>
    </row>
    <row r="21" spans="1:6" x14ac:dyDescent="0.3">
      <c r="A21" s="7">
        <v>45687</v>
      </c>
      <c r="B21">
        <v>237.59</v>
      </c>
      <c r="C21" s="7">
        <v>45687</v>
      </c>
      <c r="D21">
        <v>124.65</v>
      </c>
      <c r="E21" s="7">
        <v>45687</v>
      </c>
      <c r="F21">
        <v>414.99</v>
      </c>
    </row>
    <row r="22" spans="1:6" x14ac:dyDescent="0.3">
      <c r="A22" s="7">
        <v>45688</v>
      </c>
      <c r="B22">
        <v>236</v>
      </c>
      <c r="C22" s="7">
        <v>45688</v>
      </c>
      <c r="D22">
        <v>120.07</v>
      </c>
      <c r="E22" s="7">
        <v>45688</v>
      </c>
      <c r="F22">
        <v>415.06</v>
      </c>
    </row>
    <row r="23" spans="1:6" x14ac:dyDescent="0.3">
      <c r="A23" s="7">
        <v>45691</v>
      </c>
      <c r="B23">
        <v>228.01</v>
      </c>
      <c r="C23" s="7">
        <v>45691</v>
      </c>
      <c r="D23">
        <v>116.66</v>
      </c>
      <c r="E23" s="7">
        <v>45691</v>
      </c>
      <c r="F23">
        <v>410.92</v>
      </c>
    </row>
    <row r="24" spans="1:6" x14ac:dyDescent="0.3">
      <c r="A24" s="7">
        <v>45692</v>
      </c>
      <c r="B24">
        <v>232.8</v>
      </c>
      <c r="C24" s="7">
        <v>45692</v>
      </c>
      <c r="D24">
        <v>118.65</v>
      </c>
      <c r="E24" s="7">
        <v>45692</v>
      </c>
      <c r="F24">
        <v>412.37</v>
      </c>
    </row>
    <row r="25" spans="1:6" x14ac:dyDescent="0.3">
      <c r="A25" s="7">
        <v>45693</v>
      </c>
      <c r="B25">
        <v>232.47</v>
      </c>
      <c r="C25" s="7">
        <v>45693</v>
      </c>
      <c r="D25">
        <v>124.83</v>
      </c>
      <c r="E25" s="7">
        <v>45693</v>
      </c>
      <c r="F25">
        <v>413.29</v>
      </c>
    </row>
    <row r="26" spans="1:6" x14ac:dyDescent="0.3">
      <c r="A26" s="7">
        <v>45694</v>
      </c>
      <c r="B26">
        <v>233.22</v>
      </c>
      <c r="C26" s="7">
        <v>45694</v>
      </c>
      <c r="D26">
        <v>128.68</v>
      </c>
      <c r="E26" s="7">
        <v>45694</v>
      </c>
      <c r="F26">
        <v>415.82</v>
      </c>
    </row>
    <row r="27" spans="1:6" x14ac:dyDescent="0.3">
      <c r="A27" s="7">
        <v>45695</v>
      </c>
      <c r="B27">
        <v>227.63</v>
      </c>
      <c r="C27" s="7">
        <v>45695</v>
      </c>
      <c r="D27">
        <v>129.84</v>
      </c>
      <c r="E27" s="7">
        <v>45695</v>
      </c>
      <c r="F27">
        <v>409.75</v>
      </c>
    </row>
    <row r="28" spans="1:6" x14ac:dyDescent="0.3">
      <c r="A28" s="7">
        <v>45698</v>
      </c>
      <c r="B28">
        <v>227.65</v>
      </c>
      <c r="C28" s="7">
        <v>45698</v>
      </c>
      <c r="D28">
        <v>133.57</v>
      </c>
      <c r="E28" s="7">
        <v>45698</v>
      </c>
      <c r="F28">
        <v>412.22</v>
      </c>
    </row>
    <row r="29" spans="1:6" x14ac:dyDescent="0.3">
      <c r="A29" s="7">
        <v>45699</v>
      </c>
      <c r="B29">
        <v>232.62</v>
      </c>
      <c r="C29" s="7">
        <v>45699</v>
      </c>
      <c r="D29">
        <v>132.80000000000001</v>
      </c>
      <c r="E29" s="7">
        <v>45699</v>
      </c>
      <c r="F29">
        <v>411.44</v>
      </c>
    </row>
    <row r="30" spans="1:6" x14ac:dyDescent="0.3">
      <c r="A30" s="7">
        <v>45700</v>
      </c>
      <c r="B30">
        <v>236.87</v>
      </c>
      <c r="C30" s="7">
        <v>45700</v>
      </c>
      <c r="D30">
        <v>131.13999999999999</v>
      </c>
      <c r="E30" s="7">
        <v>45700</v>
      </c>
      <c r="F30">
        <v>409.04</v>
      </c>
    </row>
    <row r="31" spans="1:6" x14ac:dyDescent="0.3">
      <c r="A31" s="7">
        <v>45701</v>
      </c>
      <c r="B31">
        <v>241.53</v>
      </c>
      <c r="C31" s="7">
        <v>45701</v>
      </c>
      <c r="D31">
        <v>135.29</v>
      </c>
      <c r="E31" s="7">
        <v>45701</v>
      </c>
      <c r="F31">
        <v>410.54</v>
      </c>
    </row>
    <row r="32" spans="1:6" x14ac:dyDescent="0.3">
      <c r="A32" s="7">
        <v>45702</v>
      </c>
      <c r="B32">
        <v>244.6</v>
      </c>
      <c r="C32" s="7">
        <v>45702</v>
      </c>
      <c r="D32">
        <v>138.85</v>
      </c>
      <c r="E32" s="7">
        <v>45702</v>
      </c>
      <c r="F32">
        <v>408.43</v>
      </c>
    </row>
    <row r="33" spans="1:6" x14ac:dyDescent="0.3">
      <c r="A33" s="7">
        <v>45706</v>
      </c>
      <c r="B33">
        <v>244.47</v>
      </c>
      <c r="C33" s="7">
        <v>45706</v>
      </c>
      <c r="D33">
        <v>139.4</v>
      </c>
      <c r="E33" s="7">
        <v>45706</v>
      </c>
      <c r="F33">
        <v>409.64</v>
      </c>
    </row>
    <row r="34" spans="1:6" x14ac:dyDescent="0.3">
      <c r="A34" s="7">
        <v>45707</v>
      </c>
      <c r="B34">
        <v>244.87</v>
      </c>
      <c r="C34" s="7">
        <v>45707</v>
      </c>
      <c r="D34">
        <v>139.22999999999999</v>
      </c>
      <c r="E34" s="7">
        <v>45707</v>
      </c>
      <c r="F34">
        <v>414.77</v>
      </c>
    </row>
    <row r="35" spans="1:6" x14ac:dyDescent="0.3">
      <c r="A35" s="7">
        <v>45708</v>
      </c>
      <c r="B35">
        <v>245.83</v>
      </c>
      <c r="C35" s="7">
        <v>45708</v>
      </c>
      <c r="D35">
        <v>140.11000000000001</v>
      </c>
      <c r="E35" s="7">
        <v>45708</v>
      </c>
      <c r="F35">
        <v>416.13</v>
      </c>
    </row>
    <row r="36" spans="1:6" x14ac:dyDescent="0.3">
      <c r="A36" s="7">
        <v>45709</v>
      </c>
      <c r="B36">
        <v>245.55</v>
      </c>
      <c r="C36" s="7">
        <v>45709</v>
      </c>
      <c r="D36">
        <v>134.43</v>
      </c>
      <c r="E36" s="7">
        <v>45709</v>
      </c>
      <c r="F36">
        <v>408.21</v>
      </c>
    </row>
    <row r="37" spans="1:6" x14ac:dyDescent="0.3">
      <c r="A37" s="7">
        <v>45712</v>
      </c>
      <c r="B37">
        <v>247.1</v>
      </c>
      <c r="C37" s="7">
        <v>45712</v>
      </c>
      <c r="D37">
        <v>130.28</v>
      </c>
      <c r="E37" s="7">
        <v>45712</v>
      </c>
      <c r="F37">
        <v>404</v>
      </c>
    </row>
    <row r="38" spans="1:6" x14ac:dyDescent="0.3">
      <c r="A38" s="7">
        <v>45713</v>
      </c>
      <c r="B38">
        <v>247.04</v>
      </c>
      <c r="C38" s="7">
        <v>45713</v>
      </c>
      <c r="D38">
        <v>126.63</v>
      </c>
      <c r="E38" s="7">
        <v>45713</v>
      </c>
      <c r="F38">
        <v>397.9</v>
      </c>
    </row>
    <row r="39" spans="1:6" x14ac:dyDescent="0.3">
      <c r="A39" s="7">
        <v>45714</v>
      </c>
      <c r="B39">
        <v>240.36</v>
      </c>
      <c r="C39" s="7">
        <v>45714</v>
      </c>
      <c r="D39">
        <v>131.28</v>
      </c>
      <c r="E39" s="7">
        <v>45714</v>
      </c>
      <c r="F39">
        <v>399.73</v>
      </c>
    </row>
    <row r="40" spans="1:6" x14ac:dyDescent="0.3">
      <c r="A40" s="7">
        <v>45715</v>
      </c>
      <c r="B40">
        <v>237.3</v>
      </c>
      <c r="C40" s="7">
        <v>45715</v>
      </c>
      <c r="D40">
        <v>120.15</v>
      </c>
      <c r="E40" s="7">
        <v>45715</v>
      </c>
      <c r="F40">
        <v>392.53</v>
      </c>
    </row>
    <row r="41" spans="1:6" x14ac:dyDescent="0.3">
      <c r="A41" s="7">
        <v>45716</v>
      </c>
      <c r="B41">
        <v>241.84</v>
      </c>
      <c r="C41" s="7">
        <v>45716</v>
      </c>
      <c r="D41">
        <v>124.92</v>
      </c>
      <c r="E41" s="7">
        <v>45716</v>
      </c>
      <c r="F41">
        <v>396.99</v>
      </c>
    </row>
    <row r="42" spans="1:6" x14ac:dyDescent="0.3">
      <c r="A42" s="7">
        <v>45719</v>
      </c>
      <c r="B42">
        <v>238.03</v>
      </c>
      <c r="C42" s="7">
        <v>45719</v>
      </c>
      <c r="D42">
        <v>114.06</v>
      </c>
      <c r="E42" s="7">
        <v>45719</v>
      </c>
      <c r="F42">
        <v>388.49</v>
      </c>
    </row>
    <row r="43" spans="1:6" x14ac:dyDescent="0.3">
      <c r="A43" s="7">
        <v>45720</v>
      </c>
      <c r="B43">
        <v>235.93</v>
      </c>
      <c r="C43" s="7">
        <v>45720</v>
      </c>
      <c r="D43">
        <v>115.99</v>
      </c>
      <c r="E43" s="7">
        <v>45720</v>
      </c>
      <c r="F43">
        <v>388.61</v>
      </c>
    </row>
    <row r="44" spans="1:6" x14ac:dyDescent="0.3">
      <c r="A44" s="7">
        <v>45721</v>
      </c>
      <c r="B44">
        <v>235.74</v>
      </c>
      <c r="C44" s="7">
        <v>45721</v>
      </c>
      <c r="D44">
        <v>117.3</v>
      </c>
      <c r="E44" s="7">
        <v>45721</v>
      </c>
      <c r="F44">
        <v>401.02</v>
      </c>
    </row>
    <row r="45" spans="1:6" x14ac:dyDescent="0.3">
      <c r="A45" s="7">
        <v>45722</v>
      </c>
      <c r="B45">
        <v>235.33</v>
      </c>
      <c r="C45" s="7">
        <v>45722</v>
      </c>
      <c r="D45">
        <v>110.57</v>
      </c>
      <c r="E45" s="7">
        <v>45722</v>
      </c>
      <c r="F45">
        <v>396.89</v>
      </c>
    </row>
    <row r="46" spans="1:6" x14ac:dyDescent="0.3">
      <c r="A46" s="7">
        <v>45723</v>
      </c>
      <c r="B46">
        <v>239.07</v>
      </c>
      <c r="C46" s="7">
        <v>45723</v>
      </c>
      <c r="D46">
        <v>112.69</v>
      </c>
      <c r="E46" s="7">
        <v>45723</v>
      </c>
      <c r="F46">
        <v>393.31</v>
      </c>
    </row>
    <row r="47" spans="1:6" x14ac:dyDescent="0.3">
      <c r="A47" s="7">
        <v>45726</v>
      </c>
      <c r="B47">
        <v>227.48</v>
      </c>
      <c r="C47" s="7">
        <v>45726</v>
      </c>
      <c r="D47">
        <v>106.98</v>
      </c>
      <c r="E47" s="7">
        <v>45726</v>
      </c>
      <c r="F47">
        <v>380.16</v>
      </c>
    </row>
    <row r="48" spans="1:6" x14ac:dyDescent="0.3">
      <c r="A48" s="7">
        <v>45727</v>
      </c>
      <c r="B48">
        <v>220.84</v>
      </c>
      <c r="C48" s="7">
        <v>45727</v>
      </c>
      <c r="D48">
        <v>108.76</v>
      </c>
      <c r="E48" s="7">
        <v>45727</v>
      </c>
      <c r="F48">
        <v>380.45</v>
      </c>
    </row>
    <row r="49" spans="1:6" x14ac:dyDescent="0.3">
      <c r="A49" s="7">
        <v>45728</v>
      </c>
      <c r="B49">
        <v>216.98</v>
      </c>
      <c r="C49" s="7">
        <v>45728</v>
      </c>
      <c r="D49">
        <v>115.74</v>
      </c>
      <c r="E49" s="7">
        <v>45728</v>
      </c>
      <c r="F49">
        <v>383.27</v>
      </c>
    </row>
    <row r="50" spans="1:6" x14ac:dyDescent="0.3">
      <c r="A50" s="7">
        <v>45729</v>
      </c>
      <c r="B50">
        <v>209.68</v>
      </c>
      <c r="C50" s="7">
        <v>45729</v>
      </c>
      <c r="D50">
        <v>115.58</v>
      </c>
      <c r="E50" s="7">
        <v>45729</v>
      </c>
      <c r="F50">
        <v>378.77</v>
      </c>
    </row>
    <row r="51" spans="1:6" x14ac:dyDescent="0.3">
      <c r="A51" s="7">
        <v>45730</v>
      </c>
      <c r="B51">
        <v>213.49</v>
      </c>
      <c r="C51" s="7">
        <v>45730</v>
      </c>
      <c r="D51">
        <v>121.67</v>
      </c>
      <c r="E51" s="7">
        <v>45730</v>
      </c>
      <c r="F51">
        <v>388.56</v>
      </c>
    </row>
    <row r="52" spans="1:6" x14ac:dyDescent="0.3">
      <c r="A52" s="7">
        <v>45733</v>
      </c>
      <c r="B52">
        <v>214</v>
      </c>
      <c r="C52" s="7">
        <v>45733</v>
      </c>
      <c r="D52">
        <v>119.53</v>
      </c>
      <c r="E52" s="7">
        <v>45733</v>
      </c>
      <c r="F52">
        <v>388.7</v>
      </c>
    </row>
    <row r="53" spans="1:6" x14ac:dyDescent="0.3">
      <c r="A53" s="7">
        <v>45734</v>
      </c>
      <c r="B53">
        <v>212.69</v>
      </c>
      <c r="C53" s="7">
        <v>45734</v>
      </c>
      <c r="D53">
        <v>115.43</v>
      </c>
      <c r="E53" s="7">
        <v>45734</v>
      </c>
      <c r="F53">
        <v>383.52</v>
      </c>
    </row>
    <row r="54" spans="1:6" x14ac:dyDescent="0.3">
      <c r="A54" s="7">
        <v>45735</v>
      </c>
      <c r="B54">
        <v>215.24</v>
      </c>
      <c r="C54" s="7">
        <v>45735</v>
      </c>
      <c r="D54">
        <v>117.52</v>
      </c>
      <c r="E54" s="7">
        <v>45735</v>
      </c>
      <c r="F54">
        <v>387.82</v>
      </c>
    </row>
    <row r="55" spans="1:6" x14ac:dyDescent="0.3">
      <c r="A55" s="7">
        <v>45736</v>
      </c>
      <c r="B55">
        <v>214.1</v>
      </c>
      <c r="C55" s="7">
        <v>45736</v>
      </c>
      <c r="D55">
        <v>118.53</v>
      </c>
      <c r="E55" s="7">
        <v>45736</v>
      </c>
      <c r="F55">
        <v>386.84</v>
      </c>
    </row>
    <row r="56" spans="1:6" x14ac:dyDescent="0.3">
      <c r="A56" s="7">
        <v>45737</v>
      </c>
      <c r="B56">
        <v>218.27</v>
      </c>
      <c r="C56" s="7">
        <v>45737</v>
      </c>
      <c r="D56">
        <v>117.7</v>
      </c>
      <c r="E56" s="7">
        <v>45737</v>
      </c>
      <c r="F56">
        <v>391.26</v>
      </c>
    </row>
    <row r="57" spans="1:6" x14ac:dyDescent="0.3">
      <c r="A57" s="7">
        <v>45740</v>
      </c>
      <c r="B57">
        <v>220.73</v>
      </c>
      <c r="C57" s="7">
        <v>45740</v>
      </c>
      <c r="D57">
        <v>121.41</v>
      </c>
      <c r="E57" s="7">
        <v>45740</v>
      </c>
      <c r="F57">
        <v>393.08</v>
      </c>
    </row>
    <row r="58" spans="1:6" x14ac:dyDescent="0.3">
      <c r="A58" s="7">
        <v>45741</v>
      </c>
      <c r="B58">
        <v>223.75</v>
      </c>
      <c r="C58" s="7">
        <v>45741</v>
      </c>
      <c r="D58">
        <v>120.69</v>
      </c>
      <c r="E58" s="7">
        <v>45741</v>
      </c>
      <c r="F58">
        <v>395.16</v>
      </c>
    </row>
    <row r="59" spans="1:6" x14ac:dyDescent="0.3">
      <c r="A59" s="7">
        <v>45742</v>
      </c>
      <c r="B59">
        <v>221.53</v>
      </c>
      <c r="C59" s="7">
        <v>45742</v>
      </c>
      <c r="D59">
        <v>113.76</v>
      </c>
      <c r="E59" s="7">
        <v>45742</v>
      </c>
      <c r="F59">
        <v>389.97</v>
      </c>
    </row>
    <row r="60" spans="1:6" x14ac:dyDescent="0.3">
      <c r="A60" s="7">
        <v>45743</v>
      </c>
      <c r="B60">
        <v>223.85</v>
      </c>
      <c r="C60" s="7">
        <v>45743</v>
      </c>
      <c r="D60">
        <v>111.43</v>
      </c>
      <c r="E60" s="7">
        <v>45743</v>
      </c>
      <c r="F60">
        <v>390.58</v>
      </c>
    </row>
    <row r="61" spans="1:6" x14ac:dyDescent="0.3">
      <c r="A61" s="7">
        <v>45744</v>
      </c>
      <c r="B61">
        <v>217.9</v>
      </c>
      <c r="C61" s="7">
        <v>45744</v>
      </c>
      <c r="D61">
        <v>109.67</v>
      </c>
      <c r="E61" s="7">
        <v>45744</v>
      </c>
      <c r="F61">
        <v>378.8</v>
      </c>
    </row>
    <row r="62" spans="1:6" x14ac:dyDescent="0.3">
      <c r="A62" s="7">
        <v>45747</v>
      </c>
      <c r="B62">
        <v>222.13</v>
      </c>
      <c r="C62" s="7">
        <v>45747</v>
      </c>
      <c r="D62">
        <v>108.38</v>
      </c>
      <c r="E62" s="7">
        <v>45747</v>
      </c>
      <c r="F62">
        <v>375.39</v>
      </c>
    </row>
    <row r="63" spans="1:6" x14ac:dyDescent="0.3">
      <c r="A63" s="7">
        <v>45748</v>
      </c>
      <c r="B63">
        <v>223.19</v>
      </c>
      <c r="C63" s="7">
        <v>45748</v>
      </c>
      <c r="D63">
        <v>110.15</v>
      </c>
      <c r="E63" s="7">
        <v>45748</v>
      </c>
      <c r="F63">
        <v>382.19</v>
      </c>
    </row>
    <row r="64" spans="1:6" x14ac:dyDescent="0.3">
      <c r="A64" s="7">
        <v>45749</v>
      </c>
      <c r="B64">
        <v>223.89</v>
      </c>
      <c r="C64" s="7">
        <v>45749</v>
      </c>
      <c r="D64">
        <v>110.42</v>
      </c>
      <c r="E64" s="7">
        <v>45749</v>
      </c>
      <c r="F64">
        <v>382.14</v>
      </c>
    </row>
    <row r="65" spans="1:6" x14ac:dyDescent="0.3">
      <c r="A65" s="7">
        <v>45750</v>
      </c>
      <c r="B65">
        <v>203.19</v>
      </c>
      <c r="C65" s="7">
        <v>45750</v>
      </c>
      <c r="D65">
        <v>101.8</v>
      </c>
      <c r="E65" s="7">
        <v>45750</v>
      </c>
      <c r="F65">
        <v>373.11</v>
      </c>
    </row>
    <row r="66" spans="1:6" x14ac:dyDescent="0.3">
      <c r="A66" s="7">
        <v>45751</v>
      </c>
      <c r="B66">
        <v>188.38</v>
      </c>
      <c r="C66" s="7">
        <v>45751</v>
      </c>
      <c r="D66">
        <v>94.31</v>
      </c>
      <c r="E66" s="7">
        <v>45751</v>
      </c>
      <c r="F66">
        <v>359.84</v>
      </c>
    </row>
    <row r="67" spans="1:6" x14ac:dyDescent="0.3">
      <c r="A67" s="7">
        <v>45754</v>
      </c>
      <c r="B67">
        <v>181.46</v>
      </c>
      <c r="C67" s="7">
        <v>45754</v>
      </c>
      <c r="D67">
        <v>97.64</v>
      </c>
      <c r="E67" s="7">
        <v>45754</v>
      </c>
      <c r="F67">
        <v>357.86</v>
      </c>
    </row>
    <row r="68" spans="1:6" x14ac:dyDescent="0.3">
      <c r="A68" s="7">
        <v>45755</v>
      </c>
      <c r="B68">
        <v>172.42</v>
      </c>
      <c r="C68" s="7">
        <v>45755</v>
      </c>
      <c r="D68">
        <v>96.3</v>
      </c>
      <c r="E68" s="7">
        <v>45755</v>
      </c>
      <c r="F68">
        <v>354.56</v>
      </c>
    </row>
    <row r="69" spans="1:6" x14ac:dyDescent="0.3">
      <c r="A69" s="7">
        <v>45756</v>
      </c>
      <c r="B69">
        <v>198.85</v>
      </c>
      <c r="C69" s="7">
        <v>45756</v>
      </c>
      <c r="D69">
        <v>114.33</v>
      </c>
      <c r="E69" s="7">
        <v>45756</v>
      </c>
      <c r="F69">
        <v>390.49</v>
      </c>
    </row>
    <row r="70" spans="1:6" x14ac:dyDescent="0.3">
      <c r="A70" s="7">
        <v>45757</v>
      </c>
      <c r="B70">
        <v>190.42</v>
      </c>
      <c r="C70" s="7">
        <v>45757</v>
      </c>
      <c r="D70">
        <v>107.57</v>
      </c>
      <c r="E70" s="7">
        <v>45757</v>
      </c>
      <c r="F70">
        <v>381.35</v>
      </c>
    </row>
    <row r="71" spans="1:6" x14ac:dyDescent="0.3">
      <c r="A71" s="7">
        <v>45758</v>
      </c>
      <c r="B71">
        <v>198.15</v>
      </c>
      <c r="C71" s="7">
        <v>45758</v>
      </c>
      <c r="D71">
        <v>110.93</v>
      </c>
      <c r="E71" s="7">
        <v>45758</v>
      </c>
      <c r="F71">
        <v>388.45</v>
      </c>
    </row>
    <row r="72" spans="1:6" x14ac:dyDescent="0.3">
      <c r="A72" s="7">
        <v>45761</v>
      </c>
      <c r="B72">
        <v>202.52</v>
      </c>
      <c r="C72" s="7">
        <v>45761</v>
      </c>
      <c r="D72">
        <v>110.71</v>
      </c>
      <c r="E72" s="7">
        <v>45761</v>
      </c>
      <c r="F72">
        <v>387.81</v>
      </c>
    </row>
    <row r="73" spans="1:6" x14ac:dyDescent="0.3">
      <c r="A73" s="7">
        <v>45762</v>
      </c>
      <c r="B73">
        <v>202.14</v>
      </c>
      <c r="C73" s="7">
        <v>45762</v>
      </c>
      <c r="D73">
        <v>112.2</v>
      </c>
      <c r="E73" s="7">
        <v>45762</v>
      </c>
      <c r="F73">
        <v>385.73</v>
      </c>
    </row>
    <row r="74" spans="1:6" x14ac:dyDescent="0.3">
      <c r="A74" s="7">
        <v>45763</v>
      </c>
      <c r="B74">
        <v>194.27</v>
      </c>
      <c r="C74" s="7">
        <v>45763</v>
      </c>
      <c r="D74">
        <v>104.49</v>
      </c>
      <c r="E74" s="7">
        <v>45763</v>
      </c>
      <c r="F74">
        <v>371.61</v>
      </c>
    </row>
    <row r="75" spans="1:6" x14ac:dyDescent="0.3">
      <c r="A75" s="7">
        <v>45764</v>
      </c>
      <c r="B75">
        <v>196.98</v>
      </c>
      <c r="C75" s="7">
        <v>45764</v>
      </c>
      <c r="D75">
        <v>101.49</v>
      </c>
      <c r="E75" s="7">
        <v>45764</v>
      </c>
      <c r="F75">
        <v>367.78</v>
      </c>
    </row>
    <row r="76" spans="1:6" x14ac:dyDescent="0.3">
      <c r="A76" s="7">
        <v>45768</v>
      </c>
      <c r="B76">
        <v>193.16</v>
      </c>
      <c r="C76" s="7">
        <v>45768</v>
      </c>
      <c r="D76">
        <v>96.91</v>
      </c>
      <c r="E76" s="7">
        <v>45768</v>
      </c>
      <c r="F76">
        <v>359.12</v>
      </c>
    </row>
    <row r="77" spans="1:6" x14ac:dyDescent="0.3">
      <c r="A77" s="7">
        <v>45769</v>
      </c>
      <c r="B77">
        <v>199.74</v>
      </c>
      <c r="C77" s="7">
        <v>45769</v>
      </c>
      <c r="D77">
        <v>98.89</v>
      </c>
      <c r="E77" s="7">
        <v>45769</v>
      </c>
      <c r="F77">
        <v>366.82</v>
      </c>
    </row>
    <row r="78" spans="1:6" x14ac:dyDescent="0.3">
      <c r="A78" s="7">
        <v>45770</v>
      </c>
      <c r="B78">
        <v>204.6</v>
      </c>
      <c r="C78" s="7">
        <v>45770</v>
      </c>
      <c r="D78">
        <v>102.71</v>
      </c>
      <c r="E78" s="7">
        <v>45770</v>
      </c>
      <c r="F78">
        <v>374.39</v>
      </c>
    </row>
    <row r="79" spans="1:6" x14ac:dyDescent="0.3">
      <c r="A79" s="7">
        <v>45771</v>
      </c>
      <c r="B79">
        <v>208.37</v>
      </c>
      <c r="C79" s="7">
        <v>45771</v>
      </c>
      <c r="D79">
        <v>106.43</v>
      </c>
      <c r="E79" s="7">
        <v>45771</v>
      </c>
      <c r="F79">
        <v>387.3</v>
      </c>
    </row>
    <row r="80" spans="1:6" x14ac:dyDescent="0.3">
      <c r="A80" s="7">
        <v>45772</v>
      </c>
      <c r="B80">
        <v>209.28</v>
      </c>
      <c r="C80" s="7">
        <v>45772</v>
      </c>
      <c r="D80">
        <v>111.01</v>
      </c>
      <c r="E80" s="7">
        <v>45772</v>
      </c>
      <c r="F80">
        <v>391.85</v>
      </c>
    </row>
    <row r="81" spans="1:6" x14ac:dyDescent="0.3">
      <c r="A81" s="7">
        <v>45775</v>
      </c>
      <c r="B81">
        <v>210.14</v>
      </c>
      <c r="C81" s="7">
        <v>45775</v>
      </c>
      <c r="D81">
        <v>108.73</v>
      </c>
      <c r="E81" s="7">
        <v>45775</v>
      </c>
      <c r="F81">
        <v>391.16</v>
      </c>
    </row>
    <row r="82" spans="1:6" x14ac:dyDescent="0.3">
      <c r="A82" s="7">
        <v>45776</v>
      </c>
      <c r="B82">
        <v>211.21</v>
      </c>
      <c r="C82" s="7">
        <v>45776</v>
      </c>
      <c r="D82">
        <v>109.02</v>
      </c>
      <c r="E82" s="7">
        <v>45776</v>
      </c>
      <c r="F82">
        <v>394.04</v>
      </c>
    </row>
    <row r="83" spans="1:6" x14ac:dyDescent="0.3">
      <c r="A83" s="7">
        <v>45777</v>
      </c>
      <c r="B83">
        <v>212.5</v>
      </c>
      <c r="C83" s="7">
        <v>45777</v>
      </c>
      <c r="D83">
        <v>108.92</v>
      </c>
      <c r="E83" s="7">
        <v>45777</v>
      </c>
      <c r="F83">
        <v>395.26</v>
      </c>
    </row>
    <row r="84" spans="1:6" x14ac:dyDescent="0.3">
      <c r="A84" s="7">
        <v>45778</v>
      </c>
      <c r="B84">
        <v>213.32</v>
      </c>
      <c r="C84" s="7">
        <v>45778</v>
      </c>
      <c r="D84">
        <v>111.61</v>
      </c>
      <c r="E84" s="7">
        <v>45778</v>
      </c>
      <c r="F84">
        <v>425.4</v>
      </c>
    </row>
    <row r="85" spans="1:6" x14ac:dyDescent="0.3">
      <c r="A85" s="7">
        <v>45779</v>
      </c>
      <c r="B85">
        <v>205.35</v>
      </c>
      <c r="C85" s="7">
        <v>45779</v>
      </c>
      <c r="D85">
        <v>114.5</v>
      </c>
      <c r="E85" s="7">
        <v>45779</v>
      </c>
      <c r="F85">
        <v>435.28</v>
      </c>
    </row>
    <row r="86" spans="1:6" x14ac:dyDescent="0.3">
      <c r="A86" s="7">
        <v>45782</v>
      </c>
      <c r="B86">
        <v>198.89</v>
      </c>
      <c r="C86" s="7">
        <v>45782</v>
      </c>
      <c r="D86">
        <v>113.82</v>
      </c>
      <c r="E86" s="7">
        <v>45782</v>
      </c>
      <c r="F86">
        <v>436.17</v>
      </c>
    </row>
    <row r="87" spans="1:6" x14ac:dyDescent="0.3">
      <c r="A87" s="7">
        <v>45783</v>
      </c>
      <c r="B87">
        <v>198.51</v>
      </c>
      <c r="C87" s="7">
        <v>45783</v>
      </c>
      <c r="D87">
        <v>113.54</v>
      </c>
      <c r="E87" s="7">
        <v>45783</v>
      </c>
      <c r="F87">
        <v>433.31</v>
      </c>
    </row>
    <row r="88" spans="1:6" x14ac:dyDescent="0.3">
      <c r="A88" s="7">
        <v>45784</v>
      </c>
      <c r="B88">
        <v>196.25</v>
      </c>
      <c r="C88" s="7">
        <v>45784</v>
      </c>
      <c r="D88">
        <v>117.06</v>
      </c>
      <c r="E88" s="7">
        <v>45784</v>
      </c>
      <c r="F88">
        <v>433.35</v>
      </c>
    </row>
    <row r="89" spans="1:6" x14ac:dyDescent="0.3">
      <c r="A89" s="7">
        <v>45785</v>
      </c>
      <c r="B89">
        <v>197.49</v>
      </c>
      <c r="C89" s="7">
        <v>45785</v>
      </c>
      <c r="D89">
        <v>117.37</v>
      </c>
      <c r="E89" s="7">
        <v>45785</v>
      </c>
      <c r="F89">
        <v>438.17</v>
      </c>
    </row>
    <row r="90" spans="1:6" x14ac:dyDescent="0.3">
      <c r="A90" s="7">
        <v>45786</v>
      </c>
      <c r="B90">
        <v>198.53</v>
      </c>
      <c r="C90" s="7">
        <v>45786</v>
      </c>
      <c r="D90">
        <v>116.65</v>
      </c>
      <c r="E90" s="7">
        <v>45786</v>
      </c>
      <c r="F90">
        <v>438.73</v>
      </c>
    </row>
    <row r="91" spans="1:6" x14ac:dyDescent="0.3">
      <c r="A91" s="7">
        <v>45789</v>
      </c>
      <c r="B91">
        <v>210.79</v>
      </c>
      <c r="C91" s="7">
        <v>45789</v>
      </c>
      <c r="D91">
        <v>123</v>
      </c>
      <c r="E91" s="7">
        <v>45789</v>
      </c>
      <c r="F91">
        <v>449.26</v>
      </c>
    </row>
    <row r="92" spans="1:6" x14ac:dyDescent="0.3">
      <c r="A92" s="7">
        <v>45790</v>
      </c>
      <c r="B92">
        <v>212.93</v>
      </c>
      <c r="C92" s="7">
        <v>45790</v>
      </c>
      <c r="D92">
        <v>129.93</v>
      </c>
      <c r="E92" s="7">
        <v>45790</v>
      </c>
      <c r="F92">
        <v>449.14</v>
      </c>
    </row>
    <row r="93" spans="1:6" x14ac:dyDescent="0.3">
      <c r="A93" s="7">
        <v>45791</v>
      </c>
      <c r="B93">
        <v>212.33</v>
      </c>
      <c r="C93" s="7">
        <v>45791</v>
      </c>
      <c r="D93">
        <v>135.34</v>
      </c>
      <c r="E93" s="7">
        <v>45791</v>
      </c>
      <c r="F93">
        <v>452.94</v>
      </c>
    </row>
    <row r="94" spans="1:6" x14ac:dyDescent="0.3">
      <c r="A94" s="7">
        <v>45792</v>
      </c>
      <c r="B94">
        <v>211.45</v>
      </c>
      <c r="C94" s="7">
        <v>45792</v>
      </c>
      <c r="D94">
        <v>134.83000000000001</v>
      </c>
      <c r="E94" s="7">
        <v>45792</v>
      </c>
      <c r="F94">
        <v>453.13</v>
      </c>
    </row>
    <row r="95" spans="1:6" x14ac:dyDescent="0.3">
      <c r="A95" s="7">
        <v>45793</v>
      </c>
      <c r="B95">
        <v>211.26</v>
      </c>
      <c r="C95" s="7">
        <v>45793</v>
      </c>
      <c r="D95">
        <v>135.4</v>
      </c>
      <c r="E95" s="7">
        <v>45793</v>
      </c>
      <c r="F95">
        <v>454.27</v>
      </c>
    </row>
    <row r="96" spans="1:6" x14ac:dyDescent="0.3">
      <c r="A96" s="7">
        <v>45796</v>
      </c>
      <c r="B96">
        <v>208.78</v>
      </c>
      <c r="C96" s="7">
        <v>45796</v>
      </c>
      <c r="D96">
        <v>135.57</v>
      </c>
      <c r="E96" s="7">
        <v>45796</v>
      </c>
      <c r="F96">
        <v>458.87</v>
      </c>
    </row>
    <row r="97" spans="1:6" x14ac:dyDescent="0.3">
      <c r="A97" s="7">
        <v>45797</v>
      </c>
      <c r="B97">
        <v>206.86</v>
      </c>
      <c r="C97" s="7">
        <v>45797</v>
      </c>
      <c r="D97">
        <v>134.38</v>
      </c>
      <c r="E97" s="7">
        <v>45797</v>
      </c>
      <c r="F97">
        <v>458.17</v>
      </c>
    </row>
    <row r="98" spans="1:6" x14ac:dyDescent="0.3">
      <c r="A98" s="7">
        <v>45798</v>
      </c>
      <c r="B98">
        <v>202.09</v>
      </c>
      <c r="C98" s="7">
        <v>45798</v>
      </c>
      <c r="D98">
        <v>131.80000000000001</v>
      </c>
      <c r="E98" s="7">
        <v>45798</v>
      </c>
      <c r="F98">
        <v>452.57</v>
      </c>
    </row>
    <row r="99" spans="1:6" x14ac:dyDescent="0.3">
      <c r="A99" s="7">
        <v>45799</v>
      </c>
      <c r="B99">
        <v>202.09</v>
      </c>
      <c r="C99" s="7">
        <v>45799</v>
      </c>
      <c r="D99">
        <v>131.80000000000001</v>
      </c>
      <c r="E99" s="7">
        <v>45799</v>
      </c>
      <c r="F99">
        <v>454.86</v>
      </c>
    </row>
    <row r="100" spans="1:6" x14ac:dyDescent="0.3">
      <c r="A100" s="7">
        <v>45800</v>
      </c>
      <c r="B100">
        <v>195.27</v>
      </c>
      <c r="C100" s="7">
        <v>45800</v>
      </c>
      <c r="D100">
        <v>131.29</v>
      </c>
      <c r="E100" s="7">
        <v>45800</v>
      </c>
      <c r="F100">
        <v>450.18</v>
      </c>
    </row>
    <row r="101" spans="1:6" x14ac:dyDescent="0.3">
      <c r="A101" s="7">
        <v>45804</v>
      </c>
      <c r="B101">
        <v>200.21</v>
      </c>
      <c r="C101" s="7">
        <v>45804</v>
      </c>
      <c r="D101">
        <v>135.5</v>
      </c>
      <c r="E101" s="7">
        <v>45804</v>
      </c>
      <c r="F101">
        <v>460.69</v>
      </c>
    </row>
    <row r="102" spans="1:6" x14ac:dyDescent="0.3">
      <c r="A102" s="7">
        <v>45805</v>
      </c>
      <c r="B102">
        <v>200.42</v>
      </c>
      <c r="C102" s="7">
        <v>45805</v>
      </c>
      <c r="D102">
        <v>134.81</v>
      </c>
      <c r="E102" s="7">
        <v>45805</v>
      </c>
      <c r="F102">
        <v>457.36</v>
      </c>
    </row>
    <row r="103" spans="1:6" x14ac:dyDescent="0.3">
      <c r="A103" s="7">
        <v>45806</v>
      </c>
      <c r="B103">
        <v>199.95</v>
      </c>
      <c r="C103" s="7">
        <v>45806</v>
      </c>
      <c r="D103">
        <v>139.19</v>
      </c>
      <c r="E103" s="7">
        <v>45806</v>
      </c>
      <c r="F103">
        <v>458.68</v>
      </c>
    </row>
    <row r="104" spans="1:6" x14ac:dyDescent="0.3">
      <c r="A104" s="7">
        <v>45807</v>
      </c>
      <c r="B104">
        <v>200.85</v>
      </c>
      <c r="C104" s="7">
        <v>45807</v>
      </c>
      <c r="D104">
        <v>135.13</v>
      </c>
      <c r="E104" s="7">
        <v>45807</v>
      </c>
      <c r="F104">
        <v>460.36</v>
      </c>
    </row>
    <row r="105" spans="1:6" x14ac:dyDescent="0.3">
      <c r="A105" s="7">
        <v>45810</v>
      </c>
      <c r="B105">
        <v>201.7</v>
      </c>
      <c r="C105" s="7">
        <v>45810</v>
      </c>
      <c r="D105">
        <v>137.38</v>
      </c>
      <c r="E105" s="7">
        <v>45810</v>
      </c>
      <c r="F105">
        <v>461.97</v>
      </c>
    </row>
    <row r="106" spans="1:6" x14ac:dyDescent="0.3">
      <c r="A106" s="7">
        <v>45811</v>
      </c>
      <c r="B106">
        <v>203.27</v>
      </c>
      <c r="C106" s="7">
        <v>45811</v>
      </c>
      <c r="D106">
        <v>141.22</v>
      </c>
      <c r="E106" s="7">
        <v>45811</v>
      </c>
      <c r="F106">
        <v>462.97</v>
      </c>
    </row>
    <row r="107" spans="1:6" x14ac:dyDescent="0.3">
      <c r="A107" s="7">
        <v>45812</v>
      </c>
      <c r="B107">
        <v>202.82</v>
      </c>
      <c r="C107" s="7">
        <v>45812</v>
      </c>
      <c r="D107">
        <v>141.91999999999999</v>
      </c>
      <c r="E107" s="7">
        <v>45812</v>
      </c>
      <c r="F107">
        <v>463.87</v>
      </c>
    </row>
    <row r="108" spans="1:6" x14ac:dyDescent="0.3">
      <c r="A108" s="7">
        <v>45813</v>
      </c>
      <c r="B108">
        <v>200.63</v>
      </c>
      <c r="C108" s="7">
        <v>45813</v>
      </c>
      <c r="D108">
        <v>139.99</v>
      </c>
      <c r="E108" s="7">
        <v>45813</v>
      </c>
      <c r="F108">
        <v>467.68</v>
      </c>
    </row>
    <row r="109" spans="1:6" x14ac:dyDescent="0.3">
      <c r="A109" s="7">
        <v>45814</v>
      </c>
      <c r="B109">
        <v>203.92</v>
      </c>
      <c r="C109" s="7">
        <v>45814</v>
      </c>
      <c r="D109">
        <v>141.72</v>
      </c>
      <c r="E109" s="7">
        <v>45814</v>
      </c>
      <c r="F109">
        <v>470.38</v>
      </c>
    </row>
    <row r="110" spans="1:6" x14ac:dyDescent="0.3">
      <c r="A110" s="7">
        <v>45817</v>
      </c>
      <c r="B110">
        <v>201.45</v>
      </c>
      <c r="C110" s="7">
        <v>45817</v>
      </c>
      <c r="D110">
        <v>142.63</v>
      </c>
      <c r="E110" s="7">
        <v>45817</v>
      </c>
      <c r="F110">
        <v>472.75</v>
      </c>
    </row>
    <row r="111" spans="1:6" x14ac:dyDescent="0.3">
      <c r="A111" s="7">
        <v>45818</v>
      </c>
      <c r="B111">
        <v>202.67</v>
      </c>
      <c r="C111" s="7">
        <v>45818</v>
      </c>
      <c r="D111">
        <v>143.96</v>
      </c>
      <c r="E111" s="7">
        <v>45818</v>
      </c>
      <c r="F111">
        <v>470.92</v>
      </c>
    </row>
    <row r="112" spans="1:6" x14ac:dyDescent="0.3">
      <c r="A112" s="7">
        <v>45819</v>
      </c>
      <c r="B112">
        <v>198.78</v>
      </c>
      <c r="C112" s="7">
        <v>45819</v>
      </c>
      <c r="D112">
        <v>142.83000000000001</v>
      </c>
      <c r="E112" s="7">
        <v>45819</v>
      </c>
      <c r="F112">
        <v>472.62</v>
      </c>
    </row>
    <row r="113" spans="1:6" x14ac:dyDescent="0.3">
      <c r="A113" s="7">
        <v>45820</v>
      </c>
      <c r="B113">
        <v>199.2</v>
      </c>
      <c r="C113" s="7">
        <v>45820</v>
      </c>
      <c r="D113">
        <v>145</v>
      </c>
      <c r="E113" s="7">
        <v>45820</v>
      </c>
      <c r="F113">
        <v>478.87</v>
      </c>
    </row>
    <row r="114" spans="1:6" x14ac:dyDescent="0.3">
      <c r="A114" s="7">
        <v>45821</v>
      </c>
      <c r="B114">
        <v>196.45</v>
      </c>
      <c r="C114" s="7">
        <v>45821</v>
      </c>
      <c r="D114">
        <v>141.97</v>
      </c>
      <c r="E114" s="7">
        <v>45821</v>
      </c>
      <c r="F114">
        <v>474.96</v>
      </c>
    </row>
    <row r="115" spans="1:6" x14ac:dyDescent="0.3">
      <c r="A115" s="7">
        <v>45824</v>
      </c>
      <c r="B115">
        <v>198.42</v>
      </c>
      <c r="C115" s="7">
        <v>45824</v>
      </c>
      <c r="D115">
        <v>144.69</v>
      </c>
      <c r="E115" s="7">
        <v>45824</v>
      </c>
      <c r="F115">
        <v>479.14</v>
      </c>
    </row>
    <row r="116" spans="1:6" x14ac:dyDescent="0.3">
      <c r="A116" s="7">
        <v>45825</v>
      </c>
      <c r="B116">
        <v>195.64</v>
      </c>
      <c r="C116" s="7">
        <v>45825</v>
      </c>
      <c r="D116">
        <v>144.12</v>
      </c>
      <c r="E116" s="7">
        <v>45825</v>
      </c>
      <c r="F116">
        <v>478.04</v>
      </c>
    </row>
    <row r="117" spans="1:6" x14ac:dyDescent="0.3">
      <c r="A117" s="7">
        <v>45826</v>
      </c>
      <c r="B117">
        <v>196.58</v>
      </c>
      <c r="C117" s="7">
        <v>45826</v>
      </c>
      <c r="D117">
        <v>145.47999999999999</v>
      </c>
      <c r="E117" s="7">
        <v>45826</v>
      </c>
      <c r="F117">
        <v>480.24</v>
      </c>
    </row>
    <row r="118" spans="1:6" x14ac:dyDescent="0.3">
      <c r="A118" s="7">
        <v>45828</v>
      </c>
      <c r="B118">
        <v>201</v>
      </c>
      <c r="C118" s="7">
        <v>45828</v>
      </c>
      <c r="D118">
        <v>143.85</v>
      </c>
      <c r="E118" s="7">
        <v>45828</v>
      </c>
      <c r="F118">
        <v>477.4</v>
      </c>
    </row>
    <row r="119" spans="1:6" x14ac:dyDescent="0.3">
      <c r="A119" s="7">
        <v>45831</v>
      </c>
      <c r="B119">
        <v>201.5</v>
      </c>
      <c r="C119" s="7">
        <v>45831</v>
      </c>
      <c r="D119">
        <v>144.16999999999999</v>
      </c>
      <c r="E119" s="7">
        <v>45831</v>
      </c>
      <c r="F119">
        <v>486</v>
      </c>
    </row>
    <row r="120" spans="1:6" x14ac:dyDescent="0.3">
      <c r="A120" s="7">
        <v>45832</v>
      </c>
      <c r="B120">
        <v>200.3</v>
      </c>
      <c r="C120" s="7">
        <v>45832</v>
      </c>
      <c r="D120">
        <v>147.9</v>
      </c>
      <c r="E120" s="7">
        <v>45832</v>
      </c>
      <c r="F120">
        <v>490.11</v>
      </c>
    </row>
    <row r="121" spans="1:6" x14ac:dyDescent="0.3">
      <c r="A121" s="7">
        <v>45833</v>
      </c>
      <c r="B121">
        <v>201.56</v>
      </c>
      <c r="C121" s="7">
        <v>45833</v>
      </c>
      <c r="D121">
        <v>154.31</v>
      </c>
      <c r="E121" s="7">
        <v>45833</v>
      </c>
      <c r="F121">
        <v>492.27</v>
      </c>
    </row>
    <row r="122" spans="1:6" x14ac:dyDescent="0.3">
      <c r="A122" s="7">
        <v>45834</v>
      </c>
      <c r="B122">
        <v>201</v>
      </c>
      <c r="C122" s="7">
        <v>45834</v>
      </c>
      <c r="D122">
        <v>155.02000000000001</v>
      </c>
      <c r="E122" s="7">
        <v>45834</v>
      </c>
      <c r="F122">
        <v>497.45</v>
      </c>
    </row>
    <row r="123" spans="1:6" x14ac:dyDescent="0.3">
      <c r="A123" s="7">
        <v>45835</v>
      </c>
      <c r="B123">
        <v>201.08</v>
      </c>
      <c r="C123" s="7">
        <v>45835</v>
      </c>
      <c r="D123">
        <v>157.75</v>
      </c>
      <c r="E123" s="7">
        <v>45835</v>
      </c>
      <c r="F123">
        <v>495.94</v>
      </c>
    </row>
    <row r="124" spans="1:6" x14ac:dyDescent="0.3">
      <c r="A124" s="7">
        <v>45838</v>
      </c>
      <c r="B124">
        <v>205.17</v>
      </c>
      <c r="C124" s="7">
        <v>45838</v>
      </c>
      <c r="D124">
        <v>157.99</v>
      </c>
      <c r="E124" s="7">
        <v>45838</v>
      </c>
      <c r="F124">
        <v>497.41</v>
      </c>
    </row>
    <row r="125" spans="1:6" x14ac:dyDescent="0.3">
      <c r="A125" s="7">
        <v>45839</v>
      </c>
      <c r="B125">
        <v>207.82</v>
      </c>
      <c r="C125" s="7">
        <v>45839</v>
      </c>
      <c r="D125">
        <v>153.30000000000001</v>
      </c>
      <c r="E125" s="7">
        <v>45839</v>
      </c>
      <c r="F125">
        <v>492.05</v>
      </c>
    </row>
    <row r="126" spans="1:6" x14ac:dyDescent="0.3">
      <c r="A126" s="7">
        <v>45840</v>
      </c>
      <c r="B126">
        <v>212.44</v>
      </c>
      <c r="C126" s="7">
        <v>45840</v>
      </c>
      <c r="D126">
        <v>157.25</v>
      </c>
      <c r="E126" s="7">
        <v>45840</v>
      </c>
      <c r="F126">
        <v>491.09</v>
      </c>
    </row>
    <row r="127" spans="1:6" x14ac:dyDescent="0.3">
      <c r="A127" s="7">
        <v>45841</v>
      </c>
      <c r="B127">
        <v>213.55</v>
      </c>
      <c r="C127" s="7">
        <v>45841</v>
      </c>
      <c r="D127">
        <v>159.34</v>
      </c>
      <c r="E127" s="7">
        <v>45841</v>
      </c>
      <c r="F127">
        <v>498.84</v>
      </c>
    </row>
    <row r="128" spans="1:6" x14ac:dyDescent="0.3">
      <c r="A128" s="7">
        <v>45845</v>
      </c>
      <c r="B128">
        <v>209.95</v>
      </c>
      <c r="C128" s="7">
        <v>45845</v>
      </c>
      <c r="D128">
        <v>158.24</v>
      </c>
      <c r="E128" s="7">
        <v>45845</v>
      </c>
      <c r="F128">
        <v>497.72</v>
      </c>
    </row>
    <row r="129" spans="1:6" x14ac:dyDescent="0.3">
      <c r="A129" s="7">
        <v>45846</v>
      </c>
      <c r="B129">
        <v>210.01</v>
      </c>
      <c r="C129" s="7">
        <v>45846</v>
      </c>
      <c r="D129">
        <v>160</v>
      </c>
      <c r="E129" s="7">
        <v>45846</v>
      </c>
      <c r="F129">
        <v>496.62</v>
      </c>
    </row>
    <row r="130" spans="1:6" x14ac:dyDescent="0.3">
      <c r="A130" s="7">
        <v>45847</v>
      </c>
      <c r="B130">
        <v>211.14</v>
      </c>
      <c r="C130" s="7">
        <v>45847</v>
      </c>
      <c r="D130">
        <v>162.88</v>
      </c>
      <c r="E130" s="7">
        <v>45847</v>
      </c>
      <c r="F130">
        <v>503.51</v>
      </c>
    </row>
    <row r="131" spans="1:6" x14ac:dyDescent="0.3">
      <c r="A131" s="7">
        <v>45848</v>
      </c>
      <c r="B131">
        <v>212.41</v>
      </c>
      <c r="C131" s="7">
        <v>45848</v>
      </c>
      <c r="D131">
        <v>164.1</v>
      </c>
      <c r="E131" s="7">
        <v>45848</v>
      </c>
      <c r="F131">
        <v>501.48</v>
      </c>
    </row>
    <row r="132" spans="1:6" x14ac:dyDescent="0.3">
      <c r="A132" s="7">
        <v>45849</v>
      </c>
      <c r="B132">
        <v>211.16</v>
      </c>
      <c r="C132" s="7">
        <v>45849</v>
      </c>
      <c r="D132">
        <v>164.92</v>
      </c>
      <c r="E132" s="7">
        <v>45849</v>
      </c>
      <c r="F132">
        <v>503.32</v>
      </c>
    </row>
    <row r="133" spans="1:6" x14ac:dyDescent="0.3">
      <c r="A133" s="7">
        <v>45852</v>
      </c>
      <c r="B133">
        <v>208.62</v>
      </c>
      <c r="C133" s="7">
        <v>45852</v>
      </c>
      <c r="D133">
        <v>164.07</v>
      </c>
      <c r="E133" s="7">
        <v>45852</v>
      </c>
      <c r="F133">
        <v>503.02</v>
      </c>
    </row>
    <row r="134" spans="1:6" x14ac:dyDescent="0.3">
      <c r="A134" s="7">
        <v>45853</v>
      </c>
      <c r="B134">
        <v>209.11</v>
      </c>
      <c r="C134" s="7">
        <v>45853</v>
      </c>
      <c r="D134">
        <v>170.7</v>
      </c>
      <c r="E134" s="7">
        <v>45853</v>
      </c>
      <c r="F134">
        <v>505.82</v>
      </c>
    </row>
    <row r="135" spans="1:6" x14ac:dyDescent="0.3">
      <c r="A135" s="7">
        <v>45854</v>
      </c>
      <c r="B135">
        <v>210.16</v>
      </c>
      <c r="C135" s="7">
        <v>45854</v>
      </c>
      <c r="D135">
        <v>171.37</v>
      </c>
      <c r="E135" s="7">
        <v>45854</v>
      </c>
      <c r="F135">
        <v>505.62</v>
      </c>
    </row>
    <row r="136" spans="1:6" x14ac:dyDescent="0.3">
      <c r="A136" s="7">
        <v>45855</v>
      </c>
      <c r="B136">
        <v>210.02</v>
      </c>
      <c r="C136" s="7">
        <v>45855</v>
      </c>
      <c r="D136">
        <v>173</v>
      </c>
      <c r="E136" s="7">
        <v>45855</v>
      </c>
      <c r="F136">
        <v>511.7</v>
      </c>
    </row>
    <row r="137" spans="1:6" x14ac:dyDescent="0.3">
      <c r="A137" s="7">
        <v>45856</v>
      </c>
      <c r="B137">
        <v>211.18</v>
      </c>
      <c r="C137" s="7">
        <v>45856</v>
      </c>
      <c r="D137">
        <v>172.41</v>
      </c>
      <c r="E137" s="7">
        <v>45856</v>
      </c>
      <c r="F137">
        <v>510.05</v>
      </c>
    </row>
    <row r="138" spans="1:6" x14ac:dyDescent="0.3">
      <c r="A138" s="7">
        <v>45859</v>
      </c>
      <c r="B138">
        <v>212.48</v>
      </c>
      <c r="C138" s="7">
        <v>45859</v>
      </c>
      <c r="D138">
        <v>171.38</v>
      </c>
      <c r="E138" s="7">
        <v>45859</v>
      </c>
      <c r="F138">
        <v>510.06</v>
      </c>
    </row>
    <row r="139" spans="1:6" x14ac:dyDescent="0.3">
      <c r="A139" s="7">
        <v>45860</v>
      </c>
      <c r="B139">
        <v>214.4</v>
      </c>
      <c r="C139" s="7">
        <v>45860</v>
      </c>
      <c r="D139">
        <v>167.03</v>
      </c>
      <c r="E139" s="7">
        <v>45860</v>
      </c>
      <c r="F139">
        <v>505.27</v>
      </c>
    </row>
    <row r="140" spans="1:6" x14ac:dyDescent="0.3">
      <c r="A140" s="7">
        <v>45861</v>
      </c>
      <c r="B140">
        <v>214.15</v>
      </c>
      <c r="C140" s="7">
        <v>45861</v>
      </c>
      <c r="D140">
        <v>170.78</v>
      </c>
      <c r="E140" s="7">
        <v>45861</v>
      </c>
      <c r="F140">
        <v>505.87</v>
      </c>
    </row>
    <row r="141" spans="1:6" x14ac:dyDescent="0.3">
      <c r="A141" s="7">
        <v>45862</v>
      </c>
      <c r="B141">
        <v>213.76</v>
      </c>
      <c r="C141" s="7">
        <v>45862</v>
      </c>
      <c r="D141">
        <v>173.74</v>
      </c>
      <c r="E141" s="7">
        <v>45862</v>
      </c>
      <c r="F141">
        <v>510.88</v>
      </c>
    </row>
    <row r="142" spans="1:6" x14ac:dyDescent="0.3">
      <c r="A142" s="7">
        <v>45863</v>
      </c>
      <c r="B142">
        <v>213.88</v>
      </c>
      <c r="C142" s="7">
        <v>45863</v>
      </c>
      <c r="D142">
        <v>173.5</v>
      </c>
      <c r="E142" s="7">
        <v>45863</v>
      </c>
      <c r="F142">
        <v>513.71</v>
      </c>
    </row>
    <row r="143" spans="1:6" x14ac:dyDescent="0.3">
      <c r="A143" s="7">
        <v>45866</v>
      </c>
      <c r="B143">
        <v>214.05</v>
      </c>
      <c r="C143" s="7">
        <v>45866</v>
      </c>
      <c r="D143">
        <v>176.75</v>
      </c>
      <c r="E143" s="7">
        <v>45866</v>
      </c>
      <c r="F143">
        <v>512.5</v>
      </c>
    </row>
    <row r="144" spans="1:6" x14ac:dyDescent="0.3">
      <c r="A144" s="7">
        <v>45867</v>
      </c>
      <c r="B144">
        <v>211.27</v>
      </c>
      <c r="C144" s="7">
        <v>45867</v>
      </c>
      <c r="D144">
        <v>175.51</v>
      </c>
      <c r="E144" s="7">
        <v>45867</v>
      </c>
      <c r="F144">
        <v>512.57000000000005</v>
      </c>
    </row>
    <row r="145" spans="1:6" x14ac:dyDescent="0.3">
      <c r="A145" s="7">
        <v>45868</v>
      </c>
      <c r="B145">
        <v>209.05</v>
      </c>
      <c r="C145" s="7">
        <v>45868</v>
      </c>
      <c r="D145">
        <v>179.27</v>
      </c>
      <c r="E145" s="7">
        <v>45868</v>
      </c>
      <c r="F145">
        <v>513.24</v>
      </c>
    </row>
    <row r="146" spans="1:6" x14ac:dyDescent="0.3">
      <c r="A146" s="7">
        <v>45869</v>
      </c>
      <c r="B146">
        <v>207.57</v>
      </c>
      <c r="C146" s="7">
        <v>45869</v>
      </c>
      <c r="D146">
        <v>177.87</v>
      </c>
      <c r="E146" s="7">
        <v>45869</v>
      </c>
      <c r="F146">
        <v>533.5</v>
      </c>
    </row>
    <row r="147" spans="1:6" x14ac:dyDescent="0.3">
      <c r="A147" s="7">
        <v>45870</v>
      </c>
      <c r="B147">
        <v>202.38</v>
      </c>
      <c r="C147" s="7">
        <v>45870</v>
      </c>
      <c r="D147">
        <v>173.72</v>
      </c>
      <c r="E147" s="7">
        <v>45870</v>
      </c>
      <c r="F147">
        <v>524.11</v>
      </c>
    </row>
    <row r="148" spans="1:6" x14ac:dyDescent="0.3">
      <c r="A148" s="7">
        <v>45873</v>
      </c>
      <c r="B148">
        <v>203.35</v>
      </c>
      <c r="C148" s="7">
        <v>45873</v>
      </c>
      <c r="D148">
        <v>180</v>
      </c>
      <c r="E148" s="7">
        <v>45873</v>
      </c>
      <c r="F148">
        <v>535.64</v>
      </c>
    </row>
    <row r="149" spans="1:6" x14ac:dyDescent="0.3">
      <c r="A149" s="7">
        <v>45874</v>
      </c>
      <c r="B149">
        <v>202.92</v>
      </c>
      <c r="C149" s="7">
        <v>45874</v>
      </c>
      <c r="D149">
        <v>178.26</v>
      </c>
      <c r="E149" s="7">
        <v>45874</v>
      </c>
      <c r="F149">
        <v>527.75</v>
      </c>
    </row>
    <row r="150" spans="1:6" x14ac:dyDescent="0.3">
      <c r="A150" s="7">
        <v>45875</v>
      </c>
      <c r="B150">
        <v>213.25</v>
      </c>
      <c r="C150" s="7">
        <v>45875</v>
      </c>
      <c r="D150">
        <v>179.42</v>
      </c>
      <c r="E150" s="7">
        <v>45875</v>
      </c>
      <c r="F150">
        <v>524.94000000000005</v>
      </c>
    </row>
    <row r="151" spans="1:6" x14ac:dyDescent="0.3">
      <c r="A151" s="7">
        <v>45876</v>
      </c>
      <c r="B151">
        <v>220.03</v>
      </c>
      <c r="C151" s="7">
        <v>45876</v>
      </c>
      <c r="D151">
        <v>180.77</v>
      </c>
      <c r="E151" s="7">
        <v>45876</v>
      </c>
      <c r="F151">
        <v>520.84</v>
      </c>
    </row>
    <row r="152" spans="1:6" x14ac:dyDescent="0.3">
      <c r="A152" s="7">
        <v>45877</v>
      </c>
      <c r="B152">
        <v>229.35</v>
      </c>
      <c r="C152" s="7">
        <v>45877</v>
      </c>
      <c r="D152">
        <v>182.7</v>
      </c>
      <c r="E152" s="7">
        <v>45877</v>
      </c>
      <c r="F152">
        <v>522.04</v>
      </c>
    </row>
    <row r="153" spans="1:6" x14ac:dyDescent="0.3">
      <c r="A153" s="7">
        <v>45880</v>
      </c>
      <c r="B153">
        <v>227.18</v>
      </c>
      <c r="C153" s="7">
        <v>45880</v>
      </c>
      <c r="D153">
        <v>182.06</v>
      </c>
      <c r="E153" s="7">
        <v>45880</v>
      </c>
      <c r="F153">
        <v>521.77</v>
      </c>
    </row>
    <row r="154" spans="1:6" x14ac:dyDescent="0.3">
      <c r="A154" s="7">
        <v>45881</v>
      </c>
      <c r="B154">
        <v>229.65</v>
      </c>
      <c r="C154" s="7">
        <v>45881</v>
      </c>
      <c r="D154">
        <v>183.16</v>
      </c>
      <c r="E154" s="7">
        <v>45881</v>
      </c>
      <c r="F154">
        <v>529.24</v>
      </c>
    </row>
    <row r="155" spans="1:6" x14ac:dyDescent="0.3">
      <c r="A155" s="7">
        <v>45882</v>
      </c>
      <c r="B155">
        <v>233.33</v>
      </c>
      <c r="C155" s="7">
        <v>45882</v>
      </c>
      <c r="D155">
        <v>181.59</v>
      </c>
      <c r="E155" s="7">
        <v>45882</v>
      </c>
      <c r="F155">
        <v>520.58000000000004</v>
      </c>
    </row>
    <row r="156" spans="1:6" x14ac:dyDescent="0.3">
      <c r="A156" s="7">
        <v>45883</v>
      </c>
      <c r="B156">
        <v>232.78</v>
      </c>
      <c r="C156" s="7">
        <v>45883</v>
      </c>
      <c r="D156">
        <v>182.02</v>
      </c>
      <c r="E156" s="7">
        <v>45883</v>
      </c>
      <c r="F156">
        <v>522.48</v>
      </c>
    </row>
    <row r="157" spans="1:6" x14ac:dyDescent="0.3">
      <c r="A157" s="7">
        <v>45884</v>
      </c>
      <c r="B157">
        <v>231.59</v>
      </c>
      <c r="C157" s="7">
        <v>45884</v>
      </c>
      <c r="D157">
        <v>180.45</v>
      </c>
      <c r="E157" s="7">
        <v>45884</v>
      </c>
      <c r="F157">
        <v>520.16999999999996</v>
      </c>
    </row>
    <row r="158" spans="1:6" x14ac:dyDescent="0.3">
      <c r="A158" s="7">
        <v>45887</v>
      </c>
      <c r="B158">
        <v>230.89</v>
      </c>
      <c r="C158" s="7">
        <v>45887</v>
      </c>
      <c r="D158">
        <v>182.01</v>
      </c>
      <c r="E158" s="7">
        <v>45887</v>
      </c>
      <c r="F158">
        <v>517.1</v>
      </c>
    </row>
    <row r="159" spans="1:6" x14ac:dyDescent="0.3">
      <c r="A159" s="7">
        <v>45888</v>
      </c>
      <c r="B159">
        <v>230.56</v>
      </c>
      <c r="C159" s="7">
        <v>45888</v>
      </c>
      <c r="D159">
        <v>175.64</v>
      </c>
      <c r="E159" s="7">
        <v>45888</v>
      </c>
      <c r="F159">
        <v>509.77</v>
      </c>
    </row>
    <row r="160" spans="1:6" x14ac:dyDescent="0.3">
      <c r="A160" s="7">
        <v>45889</v>
      </c>
      <c r="B160">
        <v>226.01</v>
      </c>
      <c r="C160" s="7">
        <v>45889</v>
      </c>
      <c r="D160">
        <v>175.4</v>
      </c>
      <c r="E160" s="7">
        <v>45889</v>
      </c>
      <c r="F160">
        <v>505.72</v>
      </c>
    </row>
    <row r="161" spans="1:6" x14ac:dyDescent="0.3">
      <c r="A161" s="7">
        <v>45890</v>
      </c>
      <c r="B161">
        <v>224.9</v>
      </c>
      <c r="C161" s="7">
        <v>45890</v>
      </c>
      <c r="D161">
        <v>174.98</v>
      </c>
      <c r="E161" s="7">
        <v>45890</v>
      </c>
      <c r="F161">
        <v>504.24</v>
      </c>
    </row>
    <row r="162" spans="1:6" x14ac:dyDescent="0.3">
      <c r="A162" s="7">
        <v>45891</v>
      </c>
      <c r="B162">
        <v>227.76</v>
      </c>
      <c r="C162" s="7">
        <v>45891</v>
      </c>
      <c r="D162">
        <v>177.99</v>
      </c>
      <c r="E162" s="7">
        <v>45891</v>
      </c>
      <c r="F162">
        <v>507.23</v>
      </c>
    </row>
    <row r="163" spans="1:6" x14ac:dyDescent="0.3">
      <c r="A163" s="7">
        <v>45894</v>
      </c>
      <c r="B163">
        <v>227.16</v>
      </c>
      <c r="C163" s="7">
        <v>45897</v>
      </c>
      <c r="D163">
        <v>180.17</v>
      </c>
      <c r="E163" s="7">
        <v>45894</v>
      </c>
      <c r="F163">
        <v>504.26</v>
      </c>
    </row>
    <row r="164" spans="1:6" x14ac:dyDescent="0.3">
      <c r="A164" s="7">
        <v>45895</v>
      </c>
      <c r="B164">
        <v>229.31</v>
      </c>
      <c r="C164" s="7">
        <v>45898</v>
      </c>
      <c r="D164">
        <v>174.18</v>
      </c>
      <c r="E164" s="7">
        <v>45895</v>
      </c>
      <c r="F164">
        <v>502.04</v>
      </c>
    </row>
    <row r="165" spans="1:6" x14ac:dyDescent="0.3">
      <c r="A165" s="7">
        <v>45896</v>
      </c>
      <c r="B165">
        <v>230.49</v>
      </c>
      <c r="C165" s="7">
        <v>45902</v>
      </c>
      <c r="D165">
        <v>170.78</v>
      </c>
      <c r="E165" s="7">
        <v>45896</v>
      </c>
      <c r="F165">
        <v>506.74</v>
      </c>
    </row>
    <row r="166" spans="1:6" x14ac:dyDescent="0.3">
      <c r="A166" s="7">
        <v>45897</v>
      </c>
      <c r="B166">
        <v>232.56</v>
      </c>
      <c r="C166" s="7">
        <v>45903</v>
      </c>
      <c r="D166">
        <v>170.62</v>
      </c>
      <c r="E166" s="7">
        <v>45897</v>
      </c>
      <c r="F166">
        <v>509.64</v>
      </c>
    </row>
    <row r="167" spans="1:6" x14ac:dyDescent="0.3">
      <c r="A167" s="7">
        <v>45898</v>
      </c>
      <c r="B167">
        <v>232.14</v>
      </c>
      <c r="C167" s="7">
        <v>45904</v>
      </c>
      <c r="D167">
        <v>171.66</v>
      </c>
      <c r="E167" s="7">
        <v>45898</v>
      </c>
      <c r="F167">
        <v>506.69</v>
      </c>
    </row>
    <row r="168" spans="1:6" x14ac:dyDescent="0.3">
      <c r="A168" s="7">
        <v>45902</v>
      </c>
      <c r="B168">
        <v>229.72</v>
      </c>
      <c r="C168" s="7">
        <v>45905</v>
      </c>
      <c r="D168">
        <v>167.02</v>
      </c>
      <c r="E168" s="7">
        <v>45902</v>
      </c>
      <c r="F168">
        <v>505.12</v>
      </c>
    </row>
    <row r="169" spans="1:6" x14ac:dyDescent="0.3">
      <c r="A169" s="7">
        <v>45903</v>
      </c>
      <c r="B169">
        <v>238.47</v>
      </c>
      <c r="C169" s="7">
        <v>45908</v>
      </c>
      <c r="D169">
        <v>168.31</v>
      </c>
      <c r="E169" s="7">
        <v>45903</v>
      </c>
      <c r="F169">
        <v>505.35</v>
      </c>
    </row>
    <row r="170" spans="1:6" x14ac:dyDescent="0.3">
      <c r="A170" s="7">
        <v>45904</v>
      </c>
      <c r="B170">
        <v>239.78</v>
      </c>
      <c r="C170" s="7">
        <v>45909</v>
      </c>
      <c r="D170">
        <v>170.76</v>
      </c>
      <c r="E170" s="7">
        <v>45904</v>
      </c>
      <c r="F170">
        <v>507.97</v>
      </c>
    </row>
    <row r="171" spans="1:6" x14ac:dyDescent="0.3">
      <c r="A171" s="7">
        <v>45905</v>
      </c>
      <c r="B171">
        <v>239.69</v>
      </c>
      <c r="C171" s="7">
        <v>45910</v>
      </c>
      <c r="D171">
        <v>177.33</v>
      </c>
      <c r="E171" s="7">
        <v>45905</v>
      </c>
      <c r="F171">
        <v>495</v>
      </c>
    </row>
    <row r="172" spans="1:6" x14ac:dyDescent="0.3">
      <c r="A172" s="7">
        <v>45908</v>
      </c>
      <c r="B172">
        <v>237.88</v>
      </c>
      <c r="C172" s="7">
        <v>45911</v>
      </c>
      <c r="D172">
        <v>177.17</v>
      </c>
      <c r="E172" s="7">
        <v>45908</v>
      </c>
      <c r="F172">
        <v>498.2</v>
      </c>
    </row>
    <row r="173" spans="1:6" x14ac:dyDescent="0.3">
      <c r="A173" s="7">
        <v>45909</v>
      </c>
      <c r="B173">
        <v>234.35</v>
      </c>
      <c r="C173" s="7">
        <v>45912</v>
      </c>
      <c r="D173">
        <v>177.82</v>
      </c>
      <c r="E173" s="7">
        <v>45909</v>
      </c>
      <c r="F173">
        <v>498.41</v>
      </c>
    </row>
    <row r="174" spans="1:6" x14ac:dyDescent="0.3">
      <c r="A174" s="7">
        <v>45910</v>
      </c>
      <c r="B174">
        <v>226.79</v>
      </c>
      <c r="C174" s="7">
        <v>45915</v>
      </c>
      <c r="D174">
        <v>177.75</v>
      </c>
      <c r="E174" s="7">
        <v>45910</v>
      </c>
      <c r="F174">
        <v>500.37</v>
      </c>
    </row>
    <row r="175" spans="1:6" x14ac:dyDescent="0.3">
      <c r="A175" s="7">
        <v>45911</v>
      </c>
      <c r="B175">
        <v>230.03</v>
      </c>
      <c r="C175" s="7">
        <v>45916</v>
      </c>
      <c r="D175">
        <v>174.88</v>
      </c>
      <c r="E175" s="7">
        <v>45911</v>
      </c>
      <c r="F175">
        <v>501.01</v>
      </c>
    </row>
    <row r="176" spans="1:6" x14ac:dyDescent="0.3">
      <c r="A176" s="7">
        <v>45912</v>
      </c>
      <c r="B176">
        <v>234.07</v>
      </c>
      <c r="C176" s="7">
        <v>45917</v>
      </c>
      <c r="D176">
        <v>170.29</v>
      </c>
      <c r="E176" s="7">
        <v>45912</v>
      </c>
      <c r="F176">
        <v>509.9</v>
      </c>
    </row>
    <row r="177" spans="1:6" x14ac:dyDescent="0.3">
      <c r="A177" s="7">
        <v>45915</v>
      </c>
      <c r="B177">
        <v>236.7</v>
      </c>
      <c r="C177" s="7">
        <v>45918</v>
      </c>
      <c r="D177">
        <v>176.24</v>
      </c>
      <c r="E177" s="7">
        <v>45915</v>
      </c>
      <c r="F177">
        <v>515.36</v>
      </c>
    </row>
    <row r="178" spans="1:6" x14ac:dyDescent="0.3">
      <c r="A178" s="7">
        <v>45916</v>
      </c>
      <c r="B178">
        <v>238.15</v>
      </c>
      <c r="C178" s="7">
        <v>45919</v>
      </c>
      <c r="D178">
        <v>176.67</v>
      </c>
      <c r="E178" s="7">
        <v>45916</v>
      </c>
      <c r="F178">
        <v>509.04</v>
      </c>
    </row>
    <row r="179" spans="1:6" x14ac:dyDescent="0.3">
      <c r="A179" s="7">
        <v>45917</v>
      </c>
      <c r="B179">
        <v>238.99</v>
      </c>
      <c r="C179" s="7">
        <v>45922</v>
      </c>
      <c r="D179">
        <v>183.61</v>
      </c>
      <c r="E179" s="7">
        <v>45917</v>
      </c>
      <c r="F179">
        <v>510.02</v>
      </c>
    </row>
    <row r="180" spans="1:6" x14ac:dyDescent="0.3">
      <c r="A180" s="7">
        <v>45918</v>
      </c>
      <c r="B180">
        <v>237.88</v>
      </c>
      <c r="C180" s="7">
        <v>45923</v>
      </c>
      <c r="D180">
        <v>178.43</v>
      </c>
      <c r="E180" s="7">
        <v>45918</v>
      </c>
      <c r="F180">
        <v>508.45</v>
      </c>
    </row>
    <row r="181" spans="1:6" x14ac:dyDescent="0.3">
      <c r="A181" s="7">
        <v>45919</v>
      </c>
      <c r="B181">
        <v>245.5</v>
      </c>
      <c r="C181" s="7">
        <v>45924</v>
      </c>
      <c r="D181">
        <v>176.97</v>
      </c>
      <c r="E181" s="7">
        <v>45919</v>
      </c>
      <c r="F181">
        <v>517.92999999999995</v>
      </c>
    </row>
    <row r="182" spans="1:6" x14ac:dyDescent="0.3">
      <c r="A182" s="7">
        <v>45922</v>
      </c>
      <c r="B182">
        <v>256.08</v>
      </c>
      <c r="C182" s="7">
        <v>45925</v>
      </c>
      <c r="D182">
        <v>177.69</v>
      </c>
      <c r="E182" s="7">
        <v>45922</v>
      </c>
      <c r="F182">
        <v>514.45000000000005</v>
      </c>
    </row>
    <row r="183" spans="1:6" x14ac:dyDescent="0.3">
      <c r="A183" s="7">
        <v>45923</v>
      </c>
      <c r="B183">
        <v>254.43</v>
      </c>
      <c r="C183" s="7">
        <v>45926</v>
      </c>
      <c r="D183">
        <v>178.19</v>
      </c>
      <c r="E183" s="7">
        <v>45923</v>
      </c>
      <c r="F183">
        <v>509.23</v>
      </c>
    </row>
    <row r="184" spans="1:6" x14ac:dyDescent="0.3">
      <c r="A184" s="7">
        <v>45924</v>
      </c>
      <c r="B184">
        <v>252.31</v>
      </c>
      <c r="C184" s="7">
        <v>45929</v>
      </c>
      <c r="D184">
        <v>181.85</v>
      </c>
      <c r="E184" s="7">
        <v>45924</v>
      </c>
      <c r="F184">
        <v>510.15</v>
      </c>
    </row>
    <row r="185" spans="1:6" x14ac:dyDescent="0.3">
      <c r="A185" s="7">
        <v>45925</v>
      </c>
      <c r="B185">
        <v>256.87</v>
      </c>
      <c r="C185" s="7">
        <v>45930</v>
      </c>
      <c r="D185">
        <v>186.58</v>
      </c>
      <c r="E185" s="7">
        <v>45925</v>
      </c>
      <c r="F185">
        <v>507.03</v>
      </c>
    </row>
    <row r="186" spans="1:6" x14ac:dyDescent="0.3">
      <c r="A186" s="7">
        <v>45926</v>
      </c>
      <c r="B186">
        <v>255.46</v>
      </c>
      <c r="C186" s="7">
        <v>45931</v>
      </c>
      <c r="D186">
        <v>187.24</v>
      </c>
      <c r="E186" s="7">
        <v>45926</v>
      </c>
      <c r="F186">
        <v>511.46</v>
      </c>
    </row>
    <row r="187" spans="1:6" x14ac:dyDescent="0.3">
      <c r="A187" s="7">
        <v>45929</v>
      </c>
      <c r="B187">
        <v>254.43</v>
      </c>
      <c r="C187" s="7">
        <v>45932</v>
      </c>
      <c r="D187">
        <v>188.89</v>
      </c>
      <c r="E187" s="7">
        <v>45929</v>
      </c>
      <c r="F187">
        <v>514.6</v>
      </c>
    </row>
    <row r="188" spans="1:6" x14ac:dyDescent="0.3">
      <c r="A188" s="7">
        <v>45930</v>
      </c>
      <c r="B188">
        <v>254.63</v>
      </c>
      <c r="C188" s="7">
        <v>45933</v>
      </c>
      <c r="D188">
        <v>187.62</v>
      </c>
      <c r="E188" s="7">
        <v>45930</v>
      </c>
      <c r="F188">
        <v>517.95000000000005</v>
      </c>
    </row>
    <row r="189" spans="1:6" x14ac:dyDescent="0.3">
      <c r="A189" s="7">
        <v>45931</v>
      </c>
      <c r="B189">
        <v>255.45</v>
      </c>
      <c r="C189" s="7">
        <v>45936</v>
      </c>
      <c r="D189">
        <v>185.54</v>
      </c>
      <c r="E189" s="7">
        <v>45931</v>
      </c>
      <c r="F189">
        <v>519.71</v>
      </c>
    </row>
    <row r="190" spans="1:6" x14ac:dyDescent="0.3">
      <c r="A190" s="7">
        <v>45932</v>
      </c>
      <c r="B190">
        <v>257.13</v>
      </c>
      <c r="C190" s="7">
        <v>45937</v>
      </c>
      <c r="D190">
        <v>185.04</v>
      </c>
      <c r="E190" s="7">
        <v>45932</v>
      </c>
      <c r="F190">
        <v>515.74</v>
      </c>
    </row>
    <row r="191" spans="1:6" x14ac:dyDescent="0.3">
      <c r="A191" s="7">
        <v>45933</v>
      </c>
      <c r="B191">
        <v>258.02</v>
      </c>
      <c r="C191" s="7">
        <v>45938</v>
      </c>
      <c r="D191">
        <v>189.11</v>
      </c>
      <c r="E191" s="7">
        <v>45933</v>
      </c>
      <c r="F191">
        <v>517.35</v>
      </c>
    </row>
    <row r="192" spans="1:6" x14ac:dyDescent="0.3">
      <c r="A192" s="7">
        <v>45936</v>
      </c>
      <c r="B192">
        <v>256.69</v>
      </c>
      <c r="C192" s="7">
        <v>45939</v>
      </c>
      <c r="D192">
        <v>192.57</v>
      </c>
      <c r="E192" s="7">
        <v>45936</v>
      </c>
      <c r="F192">
        <v>528.57000000000005</v>
      </c>
    </row>
    <row r="193" spans="1:6" x14ac:dyDescent="0.3">
      <c r="A193" s="7">
        <v>45937</v>
      </c>
      <c r="B193">
        <v>256.48</v>
      </c>
      <c r="C193" s="7">
        <v>45940</v>
      </c>
      <c r="D193">
        <v>183.16</v>
      </c>
      <c r="E193" s="7">
        <v>45937</v>
      </c>
      <c r="F193">
        <v>523.98</v>
      </c>
    </row>
    <row r="194" spans="1:6" x14ac:dyDescent="0.3">
      <c r="A194" s="7">
        <v>45938</v>
      </c>
      <c r="B194">
        <v>258.06</v>
      </c>
      <c r="C194" s="7">
        <v>45943</v>
      </c>
      <c r="D194">
        <v>188.32</v>
      </c>
      <c r="E194" s="7">
        <v>45938</v>
      </c>
      <c r="F194">
        <v>524.85</v>
      </c>
    </row>
    <row r="195" spans="1:6" x14ac:dyDescent="0.3">
      <c r="A195" s="7">
        <v>45939</v>
      </c>
      <c r="B195">
        <v>254.04</v>
      </c>
      <c r="C195" s="7">
        <v>45944</v>
      </c>
      <c r="D195">
        <v>180.03</v>
      </c>
      <c r="E195" s="7">
        <v>45939</v>
      </c>
      <c r="F195">
        <v>522.4</v>
      </c>
    </row>
    <row r="196" spans="1:6" x14ac:dyDescent="0.3">
      <c r="A196" s="7">
        <v>45940</v>
      </c>
      <c r="B196">
        <v>245.27</v>
      </c>
      <c r="C196" s="7">
        <v>45945</v>
      </c>
      <c r="D196">
        <v>179.83</v>
      </c>
      <c r="E196" s="7">
        <v>45940</v>
      </c>
      <c r="F196">
        <v>510.96</v>
      </c>
    </row>
    <row r="197" spans="1:6" x14ac:dyDescent="0.3">
      <c r="A197" s="7">
        <v>45943</v>
      </c>
      <c r="B197">
        <v>247.66</v>
      </c>
      <c r="C197" s="7">
        <v>45946</v>
      </c>
      <c r="D197">
        <v>181.81</v>
      </c>
      <c r="E197" s="7">
        <v>45943</v>
      </c>
      <c r="F197">
        <v>514.04999999999995</v>
      </c>
    </row>
    <row r="198" spans="1:6" x14ac:dyDescent="0.3">
      <c r="A198" s="7">
        <v>45944</v>
      </c>
      <c r="B198">
        <v>247.77</v>
      </c>
      <c r="C198" s="7">
        <v>45947</v>
      </c>
      <c r="D198">
        <v>183.22</v>
      </c>
      <c r="E198" s="7">
        <v>45944</v>
      </c>
      <c r="F198">
        <v>513.57000000000005</v>
      </c>
    </row>
    <row r="199" spans="1:6" x14ac:dyDescent="0.3">
      <c r="A199" s="7">
        <v>45945</v>
      </c>
      <c r="B199">
        <v>249.34</v>
      </c>
      <c r="C199" s="7">
        <v>45950</v>
      </c>
      <c r="D199">
        <v>182.64</v>
      </c>
      <c r="E199" s="7">
        <v>45945</v>
      </c>
      <c r="F199">
        <v>513.42999999999995</v>
      </c>
    </row>
    <row r="200" spans="1:6" x14ac:dyDescent="0.3">
      <c r="A200" s="7">
        <v>45946</v>
      </c>
      <c r="B200">
        <v>247.45</v>
      </c>
      <c r="C200" s="7">
        <v>45951</v>
      </c>
      <c r="D200">
        <v>181.16</v>
      </c>
      <c r="E200" s="7">
        <v>45946</v>
      </c>
      <c r="F200">
        <v>511.61</v>
      </c>
    </row>
    <row r="201" spans="1:6" x14ac:dyDescent="0.3">
      <c r="A201" s="7">
        <v>45947</v>
      </c>
      <c r="B201">
        <v>252.29</v>
      </c>
      <c r="C201" s="7">
        <v>45952</v>
      </c>
      <c r="D201">
        <v>180.28</v>
      </c>
      <c r="E201" s="7">
        <v>45947</v>
      </c>
      <c r="F201">
        <v>513.58000000000004</v>
      </c>
    </row>
    <row r="202" spans="1:6" x14ac:dyDescent="0.3">
      <c r="A202" s="7">
        <v>45950</v>
      </c>
      <c r="B202">
        <v>262.24</v>
      </c>
      <c r="C202" s="7">
        <v>45953</v>
      </c>
      <c r="D202">
        <v>182.16</v>
      </c>
      <c r="E202" s="7">
        <v>45950</v>
      </c>
      <c r="F202">
        <v>516.79</v>
      </c>
    </row>
    <row r="203" spans="1:6" x14ac:dyDescent="0.3">
      <c r="A203" s="7">
        <v>45951</v>
      </c>
      <c r="B203">
        <v>262.77</v>
      </c>
      <c r="C203" s="7">
        <v>45954</v>
      </c>
      <c r="D203">
        <v>186.26</v>
      </c>
      <c r="E203" s="7">
        <v>45951</v>
      </c>
      <c r="F203">
        <v>517.66</v>
      </c>
    </row>
    <row r="204" spans="1:6" x14ac:dyDescent="0.3">
      <c r="A204" s="7">
        <v>45952</v>
      </c>
      <c r="B204">
        <v>258.45</v>
      </c>
      <c r="C204" s="7">
        <v>45957</v>
      </c>
      <c r="D204">
        <v>191.49</v>
      </c>
      <c r="E204" s="7">
        <v>45952</v>
      </c>
      <c r="F204">
        <v>520.54</v>
      </c>
    </row>
    <row r="205" spans="1:6" x14ac:dyDescent="0.3">
      <c r="A205" s="7">
        <v>45953</v>
      </c>
      <c r="B205">
        <v>259.58</v>
      </c>
      <c r="C205" s="7">
        <v>45958</v>
      </c>
      <c r="D205">
        <v>201.03</v>
      </c>
      <c r="E205" s="7">
        <v>45953</v>
      </c>
      <c r="F205">
        <v>520.55999999999995</v>
      </c>
    </row>
    <row r="206" spans="1:6" x14ac:dyDescent="0.3">
      <c r="A206" s="7">
        <v>45954</v>
      </c>
      <c r="B206">
        <v>262.82</v>
      </c>
      <c r="C206" s="7">
        <v>45959</v>
      </c>
      <c r="D206">
        <v>207.04</v>
      </c>
      <c r="E206" s="7">
        <v>45954</v>
      </c>
      <c r="F206">
        <v>523.61</v>
      </c>
    </row>
    <row r="207" spans="1:6" x14ac:dyDescent="0.3">
      <c r="A207" s="7">
        <v>45957</v>
      </c>
      <c r="B207">
        <v>268.81</v>
      </c>
      <c r="C207" s="7">
        <v>45960</v>
      </c>
      <c r="D207">
        <v>202.89</v>
      </c>
      <c r="E207" s="7">
        <v>45957</v>
      </c>
      <c r="F207">
        <v>531.52</v>
      </c>
    </row>
    <row r="208" spans="1:6" x14ac:dyDescent="0.3">
      <c r="A208" s="7">
        <v>45958</v>
      </c>
      <c r="B208">
        <v>269</v>
      </c>
      <c r="C208" s="7">
        <v>45961</v>
      </c>
      <c r="D208">
        <v>202.49</v>
      </c>
      <c r="E208" s="7">
        <v>45958</v>
      </c>
      <c r="F208">
        <v>542.07000000000005</v>
      </c>
    </row>
    <row r="209" spans="1:6" x14ac:dyDescent="0.3">
      <c r="A209" s="7">
        <v>45959</v>
      </c>
      <c r="B209">
        <v>269.7</v>
      </c>
      <c r="C209" s="7">
        <v>45964</v>
      </c>
      <c r="D209">
        <v>206.88</v>
      </c>
      <c r="E209" s="7">
        <v>45959</v>
      </c>
      <c r="F209">
        <v>541.54999999999995</v>
      </c>
    </row>
    <row r="210" spans="1:6" x14ac:dyDescent="0.3">
      <c r="A210" s="7">
        <v>45960</v>
      </c>
      <c r="B210">
        <v>271.39999999999998</v>
      </c>
      <c r="C210" s="7">
        <v>45965</v>
      </c>
      <c r="D210">
        <v>198.69</v>
      </c>
      <c r="E210" s="7">
        <v>45960</v>
      </c>
      <c r="F210">
        <v>525.76</v>
      </c>
    </row>
    <row r="211" spans="1:6" x14ac:dyDescent="0.3">
      <c r="A211" s="7">
        <v>45961</v>
      </c>
      <c r="B211">
        <v>270.37</v>
      </c>
      <c r="C211" s="7">
        <v>45966</v>
      </c>
      <c r="D211">
        <v>195.21</v>
      </c>
      <c r="E211" s="7">
        <v>45961</v>
      </c>
      <c r="F211">
        <v>517.80999999999995</v>
      </c>
    </row>
    <row r="212" spans="1:6" x14ac:dyDescent="0.3">
      <c r="A212" s="7">
        <v>45964</v>
      </c>
      <c r="B212">
        <v>269.05</v>
      </c>
      <c r="C212" s="7">
        <v>45967</v>
      </c>
      <c r="D212">
        <v>188.08</v>
      </c>
      <c r="E212" s="7">
        <v>45964</v>
      </c>
      <c r="F212">
        <v>517.03</v>
      </c>
    </row>
    <row r="213" spans="1:6" x14ac:dyDescent="0.3">
      <c r="A213" s="7">
        <v>45965</v>
      </c>
      <c r="B213">
        <v>270.04000000000002</v>
      </c>
      <c r="C213" s="7">
        <v>45968</v>
      </c>
      <c r="D213">
        <v>188.15</v>
      </c>
      <c r="E213" s="7">
        <v>45965</v>
      </c>
      <c r="F213">
        <v>514.33000000000004</v>
      </c>
    </row>
    <row r="214" spans="1:6" x14ac:dyDescent="0.3">
      <c r="A214" s="7">
        <v>45966</v>
      </c>
      <c r="B214">
        <v>270.14</v>
      </c>
      <c r="C214" s="7">
        <v>45971</v>
      </c>
      <c r="D214">
        <v>199.05</v>
      </c>
      <c r="E214" s="7">
        <v>45966</v>
      </c>
      <c r="F214">
        <v>507.16</v>
      </c>
    </row>
    <row r="215" spans="1:6" x14ac:dyDescent="0.3">
      <c r="A215" s="7">
        <v>45967</v>
      </c>
      <c r="B215">
        <v>269.77</v>
      </c>
      <c r="C215" s="7">
        <v>45972</v>
      </c>
      <c r="D215">
        <v>193.16</v>
      </c>
      <c r="E215" s="7">
        <v>45967</v>
      </c>
      <c r="F215">
        <v>497.1</v>
      </c>
    </row>
    <row r="216" spans="1:6" x14ac:dyDescent="0.3">
      <c r="A216" s="7">
        <v>45968</v>
      </c>
      <c r="B216">
        <v>268.47000000000003</v>
      </c>
      <c r="C216" s="7">
        <v>45973</v>
      </c>
      <c r="D216">
        <v>193.8</v>
      </c>
      <c r="E216" s="7">
        <v>45968</v>
      </c>
      <c r="F216">
        <v>496.82</v>
      </c>
    </row>
    <row r="217" spans="1:6" x14ac:dyDescent="0.3">
      <c r="A217" s="7">
        <v>45971</v>
      </c>
      <c r="B217">
        <v>269.43</v>
      </c>
      <c r="C217" s="7">
        <v>45974</v>
      </c>
      <c r="D217">
        <v>186.86</v>
      </c>
      <c r="E217" s="7">
        <v>45971</v>
      </c>
      <c r="F217">
        <v>506</v>
      </c>
    </row>
    <row r="218" spans="1:6" x14ac:dyDescent="0.3">
      <c r="A218" s="7">
        <v>45972</v>
      </c>
      <c r="B218">
        <v>275.25</v>
      </c>
      <c r="C218" s="7">
        <v>45975</v>
      </c>
      <c r="D218">
        <v>190.17</v>
      </c>
      <c r="E218" s="7">
        <v>45972</v>
      </c>
      <c r="F218">
        <v>508.68</v>
      </c>
    </row>
    <row r="219" spans="1:6" x14ac:dyDescent="0.3">
      <c r="A219" s="7">
        <v>45973</v>
      </c>
      <c r="B219">
        <v>273.47000000000003</v>
      </c>
      <c r="C219" s="7">
        <v>45978</v>
      </c>
      <c r="D219">
        <v>186.6</v>
      </c>
      <c r="E219" s="7">
        <v>45973</v>
      </c>
      <c r="F219">
        <v>511.14</v>
      </c>
    </row>
    <row r="220" spans="1:6" x14ac:dyDescent="0.3">
      <c r="A220" s="7">
        <v>45974</v>
      </c>
      <c r="B220">
        <v>272.95</v>
      </c>
      <c r="C220" s="7">
        <v>45979</v>
      </c>
      <c r="D220">
        <v>181.36</v>
      </c>
      <c r="E220" s="7">
        <v>45974</v>
      </c>
      <c r="F220">
        <v>503.29</v>
      </c>
    </row>
    <row r="221" spans="1:6" x14ac:dyDescent="0.3">
      <c r="A221" s="7">
        <v>45975</v>
      </c>
      <c r="B221">
        <v>272.41000000000003</v>
      </c>
      <c r="C221" s="7">
        <v>45980</v>
      </c>
      <c r="D221">
        <v>186.52</v>
      </c>
      <c r="E221" s="7">
        <v>45975</v>
      </c>
      <c r="F221">
        <v>510.18</v>
      </c>
    </row>
    <row r="222" spans="1:6" x14ac:dyDescent="0.3">
      <c r="A222" s="7">
        <v>45978</v>
      </c>
      <c r="B222">
        <v>267.45999999999998</v>
      </c>
      <c r="C222" s="7">
        <v>45981</v>
      </c>
      <c r="D222">
        <v>180.64</v>
      </c>
      <c r="E222" s="7">
        <v>45978</v>
      </c>
      <c r="F222">
        <v>507.49</v>
      </c>
    </row>
    <row r="223" spans="1:6" x14ac:dyDescent="0.3">
      <c r="A223" s="7">
        <v>45979</v>
      </c>
      <c r="B223">
        <v>267.44</v>
      </c>
      <c r="C223" s="7">
        <v>45982</v>
      </c>
      <c r="D223">
        <v>178.88</v>
      </c>
      <c r="E223" s="7">
        <v>45979</v>
      </c>
      <c r="F223">
        <v>493.79</v>
      </c>
    </row>
    <row r="224" spans="1:6" x14ac:dyDescent="0.3">
      <c r="A224" s="7">
        <v>45980</v>
      </c>
      <c r="B224">
        <v>268.56</v>
      </c>
      <c r="C224" s="7">
        <v>45985</v>
      </c>
      <c r="D224">
        <v>182.55</v>
      </c>
      <c r="E224" s="7">
        <v>45980</v>
      </c>
      <c r="F224">
        <v>487.12</v>
      </c>
    </row>
    <row r="225" spans="1:6" x14ac:dyDescent="0.3">
      <c r="A225" s="7">
        <v>45981</v>
      </c>
      <c r="B225">
        <v>266.25</v>
      </c>
      <c r="C225" s="7">
        <v>45986</v>
      </c>
      <c r="D225">
        <v>177.82</v>
      </c>
      <c r="E225" s="7">
        <v>45981</v>
      </c>
      <c r="F225">
        <v>478.43</v>
      </c>
    </row>
    <row r="226" spans="1:6" x14ac:dyDescent="0.3">
      <c r="A226" s="7">
        <v>45982</v>
      </c>
      <c r="B226">
        <v>271.49</v>
      </c>
      <c r="C226" s="7">
        <v>45987</v>
      </c>
      <c r="D226">
        <v>180.26</v>
      </c>
      <c r="E226" s="7">
        <v>45982</v>
      </c>
      <c r="F226">
        <v>472.12</v>
      </c>
    </row>
    <row r="227" spans="1:6" x14ac:dyDescent="0.3">
      <c r="A227" s="7">
        <v>45985</v>
      </c>
      <c r="B227">
        <v>275.92</v>
      </c>
      <c r="C227" s="7">
        <v>45989</v>
      </c>
      <c r="D227">
        <v>177</v>
      </c>
      <c r="E227" s="7">
        <v>45985</v>
      </c>
      <c r="F227">
        <v>474</v>
      </c>
    </row>
    <row r="228" spans="1:6" x14ac:dyDescent="0.3">
      <c r="A228" s="7">
        <v>45986</v>
      </c>
      <c r="B228">
        <v>276.97000000000003</v>
      </c>
      <c r="C228" s="7">
        <v>45992</v>
      </c>
      <c r="D228">
        <v>179.92</v>
      </c>
      <c r="E228" s="7">
        <v>45986</v>
      </c>
      <c r="F228">
        <v>476.99</v>
      </c>
    </row>
    <row r="229" spans="1:6" x14ac:dyDescent="0.3">
      <c r="A229" s="7">
        <v>45987</v>
      </c>
      <c r="B229">
        <v>277.55</v>
      </c>
      <c r="C229" s="7">
        <v>45993</v>
      </c>
      <c r="D229">
        <v>181.46</v>
      </c>
      <c r="E229" s="7">
        <v>45987</v>
      </c>
      <c r="F229">
        <v>485.5</v>
      </c>
    </row>
    <row r="230" spans="1:6" x14ac:dyDescent="0.3">
      <c r="A230" s="7">
        <v>45989</v>
      </c>
      <c r="B230">
        <v>278.85000000000002</v>
      </c>
      <c r="C230" s="7">
        <v>45994</v>
      </c>
      <c r="D230">
        <v>179.59</v>
      </c>
      <c r="E230" s="7">
        <v>45989</v>
      </c>
      <c r="F230">
        <v>492.01</v>
      </c>
    </row>
    <row r="231" spans="1:6" x14ac:dyDescent="0.3">
      <c r="A231" s="7">
        <v>45992</v>
      </c>
      <c r="B231">
        <v>283.10000000000002</v>
      </c>
      <c r="C231" s="7">
        <v>45995</v>
      </c>
      <c r="D231">
        <v>183.38</v>
      </c>
      <c r="E231" s="7">
        <v>45992</v>
      </c>
      <c r="F231">
        <v>486.74</v>
      </c>
    </row>
    <row r="232" spans="1:6" x14ac:dyDescent="0.3">
      <c r="A232" s="7">
        <v>45993</v>
      </c>
      <c r="B232">
        <v>286.19</v>
      </c>
      <c r="C232" s="7">
        <v>45996</v>
      </c>
      <c r="D232">
        <v>182.41</v>
      </c>
      <c r="E232" s="7">
        <v>45993</v>
      </c>
      <c r="F232">
        <v>490</v>
      </c>
    </row>
    <row r="233" spans="1:6" x14ac:dyDescent="0.3">
      <c r="A233" s="7">
        <v>45994</v>
      </c>
      <c r="B233">
        <v>284.14999999999998</v>
      </c>
      <c r="C233" s="7">
        <v>45999</v>
      </c>
      <c r="D233">
        <v>185.55</v>
      </c>
      <c r="E233" s="7">
        <v>45994</v>
      </c>
      <c r="F233">
        <v>477.73</v>
      </c>
    </row>
    <row r="234" spans="1:6" x14ac:dyDescent="0.3">
      <c r="A234" s="7">
        <v>45995</v>
      </c>
      <c r="B234">
        <v>280.7</v>
      </c>
      <c r="C234" s="7">
        <v>46000</v>
      </c>
      <c r="D234">
        <v>184.97</v>
      </c>
      <c r="E234" s="7">
        <v>45995</v>
      </c>
      <c r="F234">
        <v>480.84</v>
      </c>
    </row>
    <row r="235" spans="1:6" x14ac:dyDescent="0.3">
      <c r="A235" s="7">
        <v>45996</v>
      </c>
      <c r="B235">
        <v>278.77999999999997</v>
      </c>
      <c r="C235" s="7">
        <v>46001</v>
      </c>
      <c r="D235">
        <v>183.78</v>
      </c>
      <c r="E235" s="7">
        <v>45996</v>
      </c>
      <c r="F235">
        <v>483.16</v>
      </c>
    </row>
    <row r="236" spans="1:6" x14ac:dyDescent="0.3">
      <c r="A236" s="7">
        <v>45999</v>
      </c>
      <c r="B236">
        <v>277.89</v>
      </c>
      <c r="C236" s="7">
        <v>46002</v>
      </c>
      <c r="D236">
        <v>180.93</v>
      </c>
      <c r="E236" s="7">
        <v>45999</v>
      </c>
      <c r="F236">
        <v>491.02</v>
      </c>
    </row>
    <row r="237" spans="1:6" x14ac:dyDescent="0.3">
      <c r="A237" s="7">
        <v>46000</v>
      </c>
      <c r="B237">
        <v>277.18</v>
      </c>
      <c r="C237" s="7">
        <v>46003</v>
      </c>
      <c r="D237">
        <v>175.02</v>
      </c>
      <c r="E237" s="7">
        <v>46000</v>
      </c>
      <c r="F237">
        <v>492.02</v>
      </c>
    </row>
    <row r="238" spans="1:6" x14ac:dyDescent="0.3">
      <c r="A238" s="7">
        <v>46001</v>
      </c>
      <c r="B238">
        <v>278.77999999999997</v>
      </c>
      <c r="C238" s="7">
        <v>46006</v>
      </c>
      <c r="D238">
        <v>176.29</v>
      </c>
      <c r="E238" s="7">
        <v>46001</v>
      </c>
      <c r="F238">
        <v>478.56</v>
      </c>
    </row>
    <row r="239" spans="1:6" x14ac:dyDescent="0.3">
      <c r="A239" s="7">
        <v>46002</v>
      </c>
      <c r="B239">
        <v>278.02999999999997</v>
      </c>
      <c r="C239" s="7">
        <v>46007</v>
      </c>
      <c r="D239">
        <v>177.72</v>
      </c>
      <c r="E239" s="7">
        <v>46002</v>
      </c>
      <c r="F239">
        <v>483.47</v>
      </c>
    </row>
    <row r="240" spans="1:6" x14ac:dyDescent="0.3">
      <c r="A240" s="7">
        <v>46003</v>
      </c>
      <c r="B240">
        <v>278.27999999999997</v>
      </c>
      <c r="C240" s="7">
        <v>46008</v>
      </c>
      <c r="D240">
        <v>170.94</v>
      </c>
      <c r="E240" s="7">
        <v>46003</v>
      </c>
      <c r="F240">
        <v>478.53</v>
      </c>
    </row>
    <row r="241" spans="1:6" x14ac:dyDescent="0.3">
      <c r="A241" s="7">
        <v>46006</v>
      </c>
      <c r="B241">
        <v>274.11</v>
      </c>
      <c r="C241" s="7">
        <v>46009</v>
      </c>
      <c r="D241">
        <v>174.14</v>
      </c>
      <c r="E241" s="7">
        <v>46006</v>
      </c>
      <c r="F241">
        <v>474.82</v>
      </c>
    </row>
    <row r="242" spans="1:6" x14ac:dyDescent="0.3">
      <c r="A242" s="7">
        <v>46007</v>
      </c>
      <c r="B242">
        <v>274.61</v>
      </c>
      <c r="C242" s="7">
        <v>46010</v>
      </c>
      <c r="D242">
        <v>180.99</v>
      </c>
      <c r="E242" s="7">
        <v>46007</v>
      </c>
      <c r="F242">
        <v>476.39</v>
      </c>
    </row>
    <row r="243" spans="1:6" x14ac:dyDescent="0.3">
      <c r="A243" s="7">
        <v>46008</v>
      </c>
      <c r="B243">
        <v>271.83999999999997</v>
      </c>
      <c r="C243" s="7">
        <v>46013</v>
      </c>
      <c r="D243">
        <v>183.69</v>
      </c>
      <c r="E243" s="7">
        <v>46008</v>
      </c>
      <c r="F243">
        <v>476.12</v>
      </c>
    </row>
    <row r="244" spans="1:6" x14ac:dyDescent="0.3">
      <c r="A244" s="7">
        <v>46009</v>
      </c>
      <c r="B244">
        <v>272.19</v>
      </c>
      <c r="C244" s="7">
        <v>46014</v>
      </c>
      <c r="D244">
        <v>189.21</v>
      </c>
      <c r="E244" s="7">
        <v>46009</v>
      </c>
      <c r="F244">
        <v>483.98</v>
      </c>
    </row>
    <row r="245" spans="1:6" x14ac:dyDescent="0.3">
      <c r="A245" s="7">
        <v>46010</v>
      </c>
      <c r="B245">
        <v>273.67</v>
      </c>
      <c r="C245" s="7">
        <v>46015</v>
      </c>
      <c r="D245">
        <v>188.61</v>
      </c>
      <c r="E245" s="7">
        <v>46010</v>
      </c>
      <c r="F245">
        <v>485.92</v>
      </c>
    </row>
    <row r="246" spans="1:6" x14ac:dyDescent="0.3">
      <c r="A246" s="7">
        <v>46013</v>
      </c>
      <c r="B246">
        <v>270.97000000000003</v>
      </c>
      <c r="C246" s="7">
        <v>46017</v>
      </c>
      <c r="D246">
        <v>190.53</v>
      </c>
      <c r="E246" s="7">
        <v>46013</v>
      </c>
      <c r="F246">
        <v>484.92</v>
      </c>
    </row>
    <row r="247" spans="1:6" x14ac:dyDescent="0.3">
      <c r="A247" s="7">
        <v>46014</v>
      </c>
      <c r="B247">
        <v>272.36</v>
      </c>
      <c r="C247" s="7">
        <v>46020</v>
      </c>
      <c r="D247">
        <v>188.22</v>
      </c>
      <c r="E247" s="7">
        <v>46014</v>
      </c>
      <c r="F247">
        <v>486.85</v>
      </c>
    </row>
    <row r="248" spans="1:6" x14ac:dyDescent="0.3">
      <c r="A248" s="7">
        <v>46015</v>
      </c>
      <c r="B248">
        <v>273.81</v>
      </c>
      <c r="C248" s="7">
        <v>46021</v>
      </c>
      <c r="D248">
        <v>187.54</v>
      </c>
      <c r="E248" s="7">
        <v>46015</v>
      </c>
      <c r="F248">
        <v>488.02</v>
      </c>
    </row>
    <row r="249" spans="1:6" x14ac:dyDescent="0.3">
      <c r="A249" s="7">
        <v>46017</v>
      </c>
      <c r="B249">
        <v>273.39999999999998</v>
      </c>
      <c r="C249" s="7">
        <v>46022</v>
      </c>
      <c r="D249">
        <v>186.5</v>
      </c>
      <c r="E249" s="7">
        <v>46017</v>
      </c>
      <c r="F249">
        <v>487.71</v>
      </c>
    </row>
    <row r="250" spans="1:6" x14ac:dyDescent="0.3">
      <c r="A250" s="7">
        <v>46020</v>
      </c>
      <c r="B250">
        <v>273.76</v>
      </c>
      <c r="E250" s="7">
        <v>46020</v>
      </c>
      <c r="F250">
        <v>487.1</v>
      </c>
    </row>
    <row r="251" spans="1:6" x14ac:dyDescent="0.3">
      <c r="A251" s="7">
        <v>46021</v>
      </c>
      <c r="B251">
        <v>273.08</v>
      </c>
      <c r="E251" s="7">
        <v>46021</v>
      </c>
      <c r="F251">
        <v>487.48</v>
      </c>
    </row>
    <row r="252" spans="1:6" x14ac:dyDescent="0.3">
      <c r="A252" s="7">
        <v>46022</v>
      </c>
      <c r="B252">
        <v>271.86</v>
      </c>
      <c r="E252" s="7">
        <v>46022</v>
      </c>
      <c r="F252">
        <v>483.62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4DFA-7FB4-0145-B452-5955804CA807}">
  <sheetPr codeName="Sheet4"/>
  <dimension ref="A1:F252"/>
  <sheetViews>
    <sheetView workbookViewId="0">
      <selection activeCell="B4" sqref="B4"/>
    </sheetView>
  </sheetViews>
  <sheetFormatPr defaultColWidth="11" defaultRowHeight="15.6" x14ac:dyDescent="0.3"/>
  <cols>
    <col min="1" max="1" width="17.69921875" bestFit="1" customWidth="1"/>
    <col min="3" max="3" width="17.59765625" customWidth="1"/>
    <col min="5" max="5" width="20" style="7" customWidth="1"/>
  </cols>
  <sheetData>
    <row r="1" spans="1:6" x14ac:dyDescent="0.3">
      <c r="A1" t="s">
        <v>5</v>
      </c>
      <c r="C1" t="s">
        <v>6</v>
      </c>
      <c r="E1" s="7" t="s">
        <v>7</v>
      </c>
    </row>
    <row r="2" spans="1:6" x14ac:dyDescent="0.3">
      <c r="A2" t="s">
        <v>8</v>
      </c>
      <c r="B2" t="s">
        <v>161</v>
      </c>
      <c r="C2" t="s">
        <v>8</v>
      </c>
      <c r="D2" t="s">
        <v>161</v>
      </c>
      <c r="E2" s="7" t="s">
        <v>8</v>
      </c>
      <c r="F2" t="s">
        <v>161</v>
      </c>
    </row>
    <row r="3" spans="1:6" x14ac:dyDescent="0.3">
      <c r="A3" s="3">
        <v>45689.666666666664</v>
      </c>
      <c r="C3" s="3">
        <v>45689.666666666664</v>
      </c>
      <c r="E3" s="7">
        <v>45689.666666666664</v>
      </c>
    </row>
    <row r="4" spans="1:6" x14ac:dyDescent="0.3">
      <c r="A4" s="3">
        <v>45717.666666666664</v>
      </c>
      <c r="B4">
        <v>-2.0094320278859165E-3</v>
      </c>
      <c r="C4" s="3">
        <v>45717.666666666664</v>
      </c>
      <c r="D4">
        <v>4.4537632853734341E-2</v>
      </c>
      <c r="E4" s="7">
        <v>45717.666666666664</v>
      </c>
      <c r="F4">
        <v>1.1395671078408044E-2</v>
      </c>
    </row>
    <row r="5" spans="1:6" x14ac:dyDescent="0.3">
      <c r="A5" s="3">
        <v>45809.666666666664</v>
      </c>
      <c r="B5">
        <v>6.7389875082182211E-3</v>
      </c>
      <c r="C5" s="3">
        <v>45809.666666666664</v>
      </c>
      <c r="D5">
        <v>3.4332387346854072E-2</v>
      </c>
      <c r="E5" s="7">
        <v>45809.666666666664</v>
      </c>
      <c r="F5">
        <v>1.0629502775481279E-2</v>
      </c>
    </row>
    <row r="6" spans="1:6" x14ac:dyDescent="0.3">
      <c r="A6" s="3">
        <v>45839.666666666664</v>
      </c>
      <c r="B6">
        <v>-1.1387755102040783E-2</v>
      </c>
      <c r="C6" s="3">
        <v>45839.666666666664</v>
      </c>
      <c r="D6">
        <v>-6.2169577728702539E-2</v>
      </c>
      <c r="E6" s="7">
        <v>45839.666666666664</v>
      </c>
      <c r="F6">
        <v>-1.2808227182423788E-2</v>
      </c>
    </row>
    <row r="7" spans="1:6" x14ac:dyDescent="0.3">
      <c r="A7" s="3">
        <v>45870.666666666664</v>
      </c>
      <c r="B7">
        <v>2.0230378597084374E-3</v>
      </c>
      <c r="C7" s="3">
        <v>45870.666666666664</v>
      </c>
      <c r="D7">
        <v>-2.1407164264287655E-4</v>
      </c>
      <c r="E7" s="7">
        <v>45870.666666666664</v>
      </c>
      <c r="F7">
        <v>5.1850273456921598E-3</v>
      </c>
    </row>
    <row r="8" spans="1:6" x14ac:dyDescent="0.3">
      <c r="A8" s="3">
        <v>45931.666666666664</v>
      </c>
      <c r="B8">
        <v>-2.4103831891223712E-2</v>
      </c>
      <c r="C8" s="3">
        <v>45931.666666666664</v>
      </c>
      <c r="D8">
        <v>-2.997644707729653E-2</v>
      </c>
      <c r="E8" s="7">
        <v>45931.666666666664</v>
      </c>
      <c r="F8">
        <v>-1.3213680045223322E-2</v>
      </c>
    </row>
    <row r="9" spans="1:6" x14ac:dyDescent="0.3">
      <c r="A9" t="s">
        <v>10</v>
      </c>
      <c r="B9">
        <v>-1.0344099641123025E-2</v>
      </c>
      <c r="C9" t="s">
        <v>10</v>
      </c>
      <c r="D9">
        <v>-1.9718931645942218E-2</v>
      </c>
      <c r="E9" s="7" t="s">
        <v>10</v>
      </c>
      <c r="F9">
        <v>-4.2009786370688414E-3</v>
      </c>
    </row>
    <row r="10" spans="1:6" x14ac:dyDescent="0.3">
      <c r="A10" t="s">
        <v>11</v>
      </c>
      <c r="B10">
        <v>-4.7781569965870503E-3</v>
      </c>
      <c r="C10" t="s">
        <v>11</v>
      </c>
      <c r="D10">
        <v>-1.1033551002026562E-2</v>
      </c>
      <c r="E10" s="7" t="s">
        <v>11</v>
      </c>
      <c r="F10">
        <v>-3.6434238596322584E-3</v>
      </c>
    </row>
    <row r="11" spans="1:6" x14ac:dyDescent="0.3">
      <c r="A11" t="s">
        <v>12</v>
      </c>
      <c r="B11">
        <v>1.967592592592594E-2</v>
      </c>
      <c r="C11" t="s">
        <v>12</v>
      </c>
      <c r="D11">
        <v>3.4001214329083325E-2</v>
      </c>
      <c r="E11" s="7" t="s">
        <v>12</v>
      </c>
      <c r="F11">
        <v>2.559722857074118E-2</v>
      </c>
    </row>
    <row r="12" spans="1:6" x14ac:dyDescent="0.3">
      <c r="A12" t="s">
        <v>13</v>
      </c>
      <c r="B12">
        <v>-4.0400218606802089E-2</v>
      </c>
      <c r="C12" t="s">
        <v>13</v>
      </c>
      <c r="D12">
        <v>-1.9597768643570285E-2</v>
      </c>
      <c r="E12" s="7" t="s">
        <v>13</v>
      </c>
      <c r="F12">
        <v>-4.058079801083761E-3</v>
      </c>
    </row>
    <row r="13" spans="1:6" x14ac:dyDescent="0.3">
      <c r="A13" t="s">
        <v>14</v>
      </c>
      <c r="B13">
        <v>7.5352668010163805E-3</v>
      </c>
      <c r="C13" t="s">
        <v>14</v>
      </c>
      <c r="D13">
        <v>3.0994983903571274E-2</v>
      </c>
      <c r="E13" s="7" t="s">
        <v>14</v>
      </c>
      <c r="F13">
        <v>1.0480945875924417E-2</v>
      </c>
    </row>
    <row r="14" spans="1:6" x14ac:dyDescent="0.3">
      <c r="A14" t="s">
        <v>15</v>
      </c>
      <c r="B14">
        <v>-3.1915818766849305E-2</v>
      </c>
      <c r="C14" t="s">
        <v>15</v>
      </c>
      <c r="D14">
        <v>2.2656306731537321E-2</v>
      </c>
      <c r="E14" s="7" t="s">
        <v>15</v>
      </c>
      <c r="F14">
        <v>-1.235344847679586E-3</v>
      </c>
    </row>
    <row r="15" spans="1:6" x14ac:dyDescent="0.3">
      <c r="A15" t="s">
        <v>16</v>
      </c>
      <c r="B15">
        <v>5.3449514911966681E-3</v>
      </c>
      <c r="C15" t="s">
        <v>16</v>
      </c>
      <c r="D15">
        <v>4.4308741035290637E-2</v>
      </c>
      <c r="E15" s="7" t="s">
        <v>16</v>
      </c>
      <c r="F15">
        <v>4.1306884480746764E-2</v>
      </c>
    </row>
    <row r="16" spans="1:6" x14ac:dyDescent="0.3">
      <c r="A16" t="s">
        <v>17</v>
      </c>
      <c r="B16">
        <v>-7.5950498145921418E-4</v>
      </c>
      <c r="C16" t="s">
        <v>17</v>
      </c>
      <c r="D16">
        <v>1.0199224858911111E-3</v>
      </c>
      <c r="E16" s="7" t="s">
        <v>17</v>
      </c>
      <c r="F16">
        <v>1.1429852084266941E-3</v>
      </c>
    </row>
    <row r="17" spans="1:6" x14ac:dyDescent="0.3">
      <c r="A17" t="s">
        <v>18</v>
      </c>
      <c r="B17">
        <v>-3.934543503532127E-3</v>
      </c>
      <c r="C17" t="s">
        <v>18</v>
      </c>
      <c r="D17">
        <v>-3.1245754652900384E-2</v>
      </c>
      <c r="E17" s="7" t="s">
        <v>18</v>
      </c>
      <c r="F17">
        <v>-5.9322603031048719E-3</v>
      </c>
    </row>
    <row r="18" spans="1:6" x14ac:dyDescent="0.3">
      <c r="A18" t="s">
        <v>19</v>
      </c>
      <c r="B18">
        <v>3.1780231618637279E-2</v>
      </c>
      <c r="C18" t="s">
        <v>19</v>
      </c>
      <c r="D18">
        <v>-0.1696816715748142</v>
      </c>
      <c r="E18" s="7" t="s">
        <v>19</v>
      </c>
      <c r="F18">
        <v>-2.1393505382155564E-2</v>
      </c>
    </row>
    <row r="19" spans="1:6" x14ac:dyDescent="0.3">
      <c r="A19" t="s">
        <v>20</v>
      </c>
      <c r="B19">
        <v>3.6543983294178961E-2</v>
      </c>
      <c r="C19" t="s">
        <v>20</v>
      </c>
      <c r="D19">
        <v>8.9258571187299504E-2</v>
      </c>
      <c r="E19" s="7" t="s">
        <v>20</v>
      </c>
      <c r="F19">
        <v>2.9086892488954314E-2</v>
      </c>
    </row>
    <row r="20" spans="1:6" x14ac:dyDescent="0.3">
      <c r="A20" t="s">
        <v>21</v>
      </c>
      <c r="B20">
        <v>4.6168051708218869E-3</v>
      </c>
      <c r="C20" t="s">
        <v>21</v>
      </c>
      <c r="D20">
        <v>-4.1010931079928724E-2</v>
      </c>
      <c r="E20" s="7" t="s">
        <v>21</v>
      </c>
      <c r="F20">
        <v>-1.0889982110912353E-2</v>
      </c>
    </row>
    <row r="21" spans="1:6" x14ac:dyDescent="0.3">
      <c r="A21" t="s">
        <v>22</v>
      </c>
      <c r="B21">
        <v>-7.394719251336941E-3</v>
      </c>
      <c r="C21" t="s">
        <v>22</v>
      </c>
      <c r="D21">
        <v>7.6798706548100474E-3</v>
      </c>
      <c r="E21" s="7" t="s">
        <v>22</v>
      </c>
      <c r="F21">
        <v>-6.1809056586711222E-2</v>
      </c>
    </row>
    <row r="22" spans="1:6" x14ac:dyDescent="0.3">
      <c r="A22" t="s">
        <v>23</v>
      </c>
      <c r="B22">
        <v>-6.6922008502041472E-3</v>
      </c>
      <c r="C22" t="s">
        <v>23</v>
      </c>
      <c r="D22">
        <v>-3.6742880064179799E-2</v>
      </c>
      <c r="E22" s="7" t="s">
        <v>23</v>
      </c>
      <c r="F22">
        <v>1.6867876334367854E-4</v>
      </c>
    </row>
    <row r="23" spans="1:6" x14ac:dyDescent="0.3">
      <c r="A23" s="3">
        <v>45718.666666666664</v>
      </c>
      <c r="B23">
        <v>-3.3855932203389866E-2</v>
      </c>
      <c r="C23" s="3">
        <v>45718.666666666664</v>
      </c>
      <c r="D23">
        <v>-2.8400099941700646E-2</v>
      </c>
      <c r="E23" s="7">
        <v>45718.666666666664</v>
      </c>
      <c r="F23">
        <v>-9.9744615236351045E-3</v>
      </c>
    </row>
    <row r="24" spans="1:6" x14ac:dyDescent="0.3">
      <c r="A24" s="3">
        <v>45749.666666666664</v>
      </c>
      <c r="B24">
        <v>2.1007850532871457E-2</v>
      </c>
      <c r="C24" s="3">
        <v>45749.666666666664</v>
      </c>
      <c r="D24">
        <v>1.7058117606720463E-2</v>
      </c>
      <c r="E24" s="7">
        <v>45749.666666666664</v>
      </c>
      <c r="F24">
        <v>3.528667380511994E-3</v>
      </c>
    </row>
    <row r="25" spans="1:6" x14ac:dyDescent="0.3">
      <c r="A25" s="3">
        <v>45779.666666666664</v>
      </c>
      <c r="B25">
        <v>-1.41752577319593E-3</v>
      </c>
      <c r="C25" s="3">
        <v>45779.666666666664</v>
      </c>
      <c r="D25">
        <v>5.208596713021485E-2</v>
      </c>
      <c r="E25" s="7">
        <v>45779.666666666664</v>
      </c>
      <c r="F25">
        <v>2.2310061352669103E-3</v>
      </c>
    </row>
    <row r="26" spans="1:6" x14ac:dyDescent="0.3">
      <c r="A26" s="3">
        <v>45810.666666666664</v>
      </c>
      <c r="B26">
        <v>3.2262227384178607E-3</v>
      </c>
      <c r="C26" s="3">
        <v>45810.666666666664</v>
      </c>
      <c r="D26">
        <v>3.0841945045261623E-2</v>
      </c>
      <c r="E26" s="7">
        <v>45810.666666666664</v>
      </c>
      <c r="F26">
        <v>6.1216095235790188E-3</v>
      </c>
    </row>
    <row r="27" spans="1:6" x14ac:dyDescent="0.3">
      <c r="A27" s="3">
        <v>45840.666666666664</v>
      </c>
      <c r="B27">
        <v>-2.396878483835007E-2</v>
      </c>
      <c r="C27" s="3">
        <v>45840.666666666664</v>
      </c>
      <c r="D27">
        <v>9.0146098849859854E-3</v>
      </c>
      <c r="E27" s="7">
        <v>45840.666666666664</v>
      </c>
      <c r="F27">
        <v>-1.4597662450098584E-2</v>
      </c>
    </row>
    <row r="28" spans="1:6" x14ac:dyDescent="0.3">
      <c r="A28" s="3">
        <v>45932.666666666664</v>
      </c>
      <c r="B28">
        <v>8.7861881122919803E-5</v>
      </c>
      <c r="C28" s="3">
        <v>45932.666666666664</v>
      </c>
      <c r="D28">
        <v>2.8727664818237752E-2</v>
      </c>
      <c r="E28" s="7">
        <v>45932.666666666664</v>
      </c>
      <c r="F28">
        <v>6.0280658938377729E-3</v>
      </c>
    </row>
    <row r="29" spans="1:6" x14ac:dyDescent="0.3">
      <c r="A29" s="3">
        <v>45963.666666666664</v>
      </c>
      <c r="B29">
        <v>2.1831759279595866E-2</v>
      </c>
      <c r="C29" s="3">
        <v>45963.666666666664</v>
      </c>
      <c r="D29">
        <v>-5.7647675376205874E-3</v>
      </c>
      <c r="E29" s="7">
        <v>45963.666666666664</v>
      </c>
      <c r="F29">
        <v>-1.8921934889137584E-3</v>
      </c>
    </row>
    <row r="30" spans="1:6" x14ac:dyDescent="0.3">
      <c r="A30" s="3">
        <v>45993.666666666664</v>
      </c>
      <c r="B30">
        <v>1.8270140142722036E-2</v>
      </c>
      <c r="C30" s="3">
        <v>45993.666666666664</v>
      </c>
      <c r="D30">
        <v>-1.2500000000000188E-2</v>
      </c>
      <c r="E30" s="7">
        <v>45993.666666666664</v>
      </c>
      <c r="F30">
        <v>-5.8331713007971448E-3</v>
      </c>
    </row>
    <row r="31" spans="1:6" x14ac:dyDescent="0.3">
      <c r="A31" t="s">
        <v>24</v>
      </c>
      <c r="B31">
        <v>1.9673238485245055E-2</v>
      </c>
      <c r="C31" t="s">
        <v>24</v>
      </c>
      <c r="D31">
        <v>3.1645569620253208E-2</v>
      </c>
      <c r="E31" s="7" t="s">
        <v>24</v>
      </c>
      <c r="F31">
        <v>3.667123019753569E-3</v>
      </c>
    </row>
    <row r="32" spans="1:6" x14ac:dyDescent="0.3">
      <c r="A32" t="s">
        <v>25</v>
      </c>
      <c r="B32">
        <v>1.2710636359872452E-2</v>
      </c>
      <c r="C32" t="s">
        <v>25</v>
      </c>
      <c r="D32">
        <v>2.6313844334392805E-2</v>
      </c>
      <c r="E32" s="7" t="s">
        <v>25</v>
      </c>
      <c r="F32">
        <v>-5.1395722706679336E-3</v>
      </c>
    </row>
    <row r="33" spans="1:6" x14ac:dyDescent="0.3">
      <c r="A33" t="s">
        <v>26</v>
      </c>
      <c r="B33">
        <v>-5.3147996729352182E-4</v>
      </c>
      <c r="C33" t="s">
        <v>26</v>
      </c>
      <c r="D33">
        <v>3.9611091105510362E-3</v>
      </c>
      <c r="E33" s="7" t="s">
        <v>26</v>
      </c>
      <c r="F33">
        <v>2.9625639644491825E-3</v>
      </c>
    </row>
    <row r="34" spans="1:6" x14ac:dyDescent="0.3">
      <c r="A34" t="s">
        <v>27</v>
      </c>
      <c r="B34">
        <v>1.6361925798666736E-3</v>
      </c>
      <c r="C34" t="s">
        <v>27</v>
      </c>
      <c r="D34">
        <v>-1.2195121951220653E-3</v>
      </c>
      <c r="E34" s="7" t="s">
        <v>27</v>
      </c>
      <c r="F34">
        <v>1.2523191094619655E-2</v>
      </c>
    </row>
    <row r="35" spans="1:6" x14ac:dyDescent="0.3">
      <c r="A35" t="s">
        <v>28</v>
      </c>
      <c r="B35">
        <v>3.9204475844325888E-3</v>
      </c>
      <c r="C35" t="s">
        <v>28</v>
      </c>
      <c r="D35">
        <v>6.3204769087123747E-3</v>
      </c>
      <c r="E35" s="7" t="s">
        <v>28</v>
      </c>
      <c r="F35">
        <v>3.278925669648272E-3</v>
      </c>
    </row>
    <row r="36" spans="1:6" x14ac:dyDescent="0.3">
      <c r="A36" t="s">
        <v>29</v>
      </c>
      <c r="B36">
        <v>-1.1389984948948506E-3</v>
      </c>
      <c r="C36" t="s">
        <v>29</v>
      </c>
      <c r="D36">
        <v>-4.0539576047391383E-2</v>
      </c>
      <c r="E36" s="7" t="s">
        <v>29</v>
      </c>
      <c r="F36">
        <v>-1.9032513877874743E-2</v>
      </c>
    </row>
    <row r="37" spans="1:6" x14ac:dyDescent="0.3">
      <c r="A37" t="s">
        <v>30</v>
      </c>
      <c r="B37">
        <v>6.3123600081449113E-3</v>
      </c>
      <c r="C37" t="s">
        <v>30</v>
      </c>
      <c r="D37">
        <v>-3.0871085323216585E-2</v>
      </c>
      <c r="E37" s="7" t="s">
        <v>30</v>
      </c>
      <c r="F37">
        <v>-1.0313319124960143E-2</v>
      </c>
    </row>
    <row r="38" spans="1:6" x14ac:dyDescent="0.3">
      <c r="A38" t="s">
        <v>31</v>
      </c>
      <c r="B38">
        <v>-2.4281667341158347E-4</v>
      </c>
      <c r="C38" t="s">
        <v>31</v>
      </c>
      <c r="D38">
        <v>-2.8016579674547171E-2</v>
      </c>
      <c r="E38" s="7" t="s">
        <v>31</v>
      </c>
      <c r="F38">
        <v>-1.5099009900990156E-2</v>
      </c>
    </row>
    <row r="39" spans="1:6" x14ac:dyDescent="0.3">
      <c r="A39" t="s">
        <v>32</v>
      </c>
      <c r="B39">
        <v>-2.704015544041442E-2</v>
      </c>
      <c r="C39" t="s">
        <v>32</v>
      </c>
      <c r="D39">
        <v>3.6721156124141244E-2</v>
      </c>
      <c r="E39" s="7" t="s">
        <v>32</v>
      </c>
      <c r="F39">
        <v>4.5991455139483316E-3</v>
      </c>
    </row>
    <row r="40" spans="1:6" x14ac:dyDescent="0.3">
      <c r="A40" t="s">
        <v>33</v>
      </c>
      <c r="B40">
        <v>-1.273090364453321E-2</v>
      </c>
      <c r="C40" t="s">
        <v>33</v>
      </c>
      <c r="D40">
        <v>-8.4780621572212028E-2</v>
      </c>
      <c r="E40" s="7" t="s">
        <v>33</v>
      </c>
      <c r="F40">
        <v>-1.8012158206789697E-2</v>
      </c>
    </row>
    <row r="41" spans="1:6" x14ac:dyDescent="0.3">
      <c r="A41" t="s">
        <v>34</v>
      </c>
      <c r="B41">
        <v>1.9131900547829716E-2</v>
      </c>
      <c r="C41" t="s">
        <v>34</v>
      </c>
      <c r="D41">
        <v>3.970037453183517E-2</v>
      </c>
      <c r="E41" s="7" t="s">
        <v>34</v>
      </c>
      <c r="F41">
        <v>1.1362188877283359E-2</v>
      </c>
    </row>
    <row r="42" spans="1:6" x14ac:dyDescent="0.3">
      <c r="A42" s="3">
        <v>45719.666666666664</v>
      </c>
      <c r="B42">
        <v>-1.5754217664571628E-2</v>
      </c>
      <c r="C42" s="3">
        <v>45719.666666666664</v>
      </c>
      <c r="D42">
        <v>-8.6935638808837645E-2</v>
      </c>
      <c r="E42" s="7">
        <v>45719.666666666664</v>
      </c>
      <c r="F42">
        <v>-2.1411118667976521E-2</v>
      </c>
    </row>
    <row r="43" spans="1:6" x14ac:dyDescent="0.3">
      <c r="A43" s="3">
        <v>45750.666666666664</v>
      </c>
      <c r="B43">
        <v>-8.8224173423517797E-3</v>
      </c>
      <c r="C43" s="3">
        <v>45750.666666666664</v>
      </c>
      <c r="D43">
        <v>1.6920918814658886E-2</v>
      </c>
      <c r="E43" s="7">
        <v>45750.666666666664</v>
      </c>
      <c r="F43">
        <v>3.0888825967207529E-4</v>
      </c>
    </row>
    <row r="44" spans="1:6" x14ac:dyDescent="0.3">
      <c r="A44" s="3">
        <v>45780.666666666664</v>
      </c>
      <c r="B44">
        <v>-8.0532361293603064E-4</v>
      </c>
      <c r="C44" s="3">
        <v>45780.666666666664</v>
      </c>
      <c r="D44">
        <v>1.1294077075609987E-2</v>
      </c>
      <c r="E44" s="7">
        <v>45780.666666666664</v>
      </c>
      <c r="F44">
        <v>3.1934330048120144E-2</v>
      </c>
    </row>
    <row r="45" spans="1:6" x14ac:dyDescent="0.3">
      <c r="A45" s="3">
        <v>45811.666666666664</v>
      </c>
      <c r="B45">
        <v>-1.7392042080257766E-3</v>
      </c>
      <c r="C45" s="3">
        <v>45811.666666666664</v>
      </c>
      <c r="D45">
        <v>-5.7374254049445898E-2</v>
      </c>
      <c r="E45" s="7">
        <v>45811.666666666664</v>
      </c>
      <c r="F45">
        <v>-1.0298738217545249E-2</v>
      </c>
    </row>
    <row r="46" spans="1:6" x14ac:dyDescent="0.3">
      <c r="A46" s="3">
        <v>45841.666666666664</v>
      </c>
      <c r="B46">
        <v>1.5892576382101647E-2</v>
      </c>
      <c r="C46" s="3">
        <v>45841.666666666664</v>
      </c>
      <c r="D46">
        <v>1.9173374333001762E-2</v>
      </c>
      <c r="E46" s="7">
        <v>45841.666666666664</v>
      </c>
      <c r="F46">
        <v>-9.0201315225880829E-3</v>
      </c>
    </row>
    <row r="47" spans="1:6" x14ac:dyDescent="0.3">
      <c r="A47" s="3">
        <v>45933.666666666664</v>
      </c>
      <c r="B47">
        <v>-4.8479524825364974E-2</v>
      </c>
      <c r="C47" s="3">
        <v>45933.666666666664</v>
      </c>
      <c r="D47">
        <v>-5.0669979590025678E-2</v>
      </c>
      <c r="E47" s="7">
        <v>45933.666666666664</v>
      </c>
      <c r="F47">
        <v>-3.3434186773791605E-2</v>
      </c>
    </row>
    <row r="48" spans="1:6" x14ac:dyDescent="0.3">
      <c r="A48" s="3">
        <v>45964.666666666664</v>
      </c>
      <c r="B48">
        <v>-2.9189379286091027E-2</v>
      </c>
      <c r="C48" s="3">
        <v>45964.666666666664</v>
      </c>
      <c r="D48">
        <v>1.6638624041876996E-2</v>
      </c>
      <c r="E48" s="7">
        <v>45964.666666666664</v>
      </c>
      <c r="F48">
        <v>7.628367003366046E-4</v>
      </c>
    </row>
    <row r="49" spans="1:6" x14ac:dyDescent="0.3">
      <c r="A49" s="3">
        <v>45994.666666666664</v>
      </c>
      <c r="B49">
        <v>-1.747871762361897E-2</v>
      </c>
      <c r="C49" s="3">
        <v>45994.666666666664</v>
      </c>
      <c r="D49">
        <v>6.4178006620080816E-2</v>
      </c>
      <c r="E49" s="7">
        <v>45994.666666666664</v>
      </c>
      <c r="F49">
        <v>7.4122749375739082E-3</v>
      </c>
    </row>
    <row r="50" spans="1:6" x14ac:dyDescent="0.3">
      <c r="A50" t="s">
        <v>35</v>
      </c>
      <c r="B50">
        <v>-3.3643653792976236E-2</v>
      </c>
      <c r="C50" t="s">
        <v>35</v>
      </c>
      <c r="D50">
        <v>-1.382408847416594E-3</v>
      </c>
      <c r="E50" s="7" t="s">
        <v>35</v>
      </c>
      <c r="F50">
        <v>-1.1741070263782712E-2</v>
      </c>
    </row>
    <row r="51" spans="1:6" x14ac:dyDescent="0.3">
      <c r="A51" t="s">
        <v>36</v>
      </c>
      <c r="B51">
        <v>1.8170545593285015E-2</v>
      </c>
      <c r="C51" t="s">
        <v>36</v>
      </c>
      <c r="D51">
        <v>5.2690776951029618E-2</v>
      </c>
      <c r="E51" s="7" t="s">
        <v>36</v>
      </c>
      <c r="F51">
        <v>2.5846819969902634E-2</v>
      </c>
    </row>
    <row r="52" spans="1:6" x14ac:dyDescent="0.3">
      <c r="A52" t="s">
        <v>37</v>
      </c>
      <c r="B52">
        <v>2.3888706730994E-3</v>
      </c>
      <c r="C52" t="s">
        <v>37</v>
      </c>
      <c r="D52">
        <v>-1.7588559217555689E-2</v>
      </c>
      <c r="E52" s="7" t="s">
        <v>37</v>
      </c>
      <c r="F52">
        <v>3.6030471484451917E-4</v>
      </c>
    </row>
    <row r="53" spans="1:6" x14ac:dyDescent="0.3">
      <c r="A53" t="s">
        <v>38</v>
      </c>
      <c r="B53">
        <v>-6.1214953271028147E-3</v>
      </c>
      <c r="C53" t="s">
        <v>38</v>
      </c>
      <c r="D53">
        <v>-3.4301012298167774E-2</v>
      </c>
      <c r="E53" s="7" t="s">
        <v>38</v>
      </c>
      <c r="F53">
        <v>-1.3326472858245451E-2</v>
      </c>
    </row>
    <row r="54" spans="1:6" x14ac:dyDescent="0.3">
      <c r="A54" t="s">
        <v>39</v>
      </c>
      <c r="B54">
        <v>1.1989280173021822E-2</v>
      </c>
      <c r="C54" t="s">
        <v>39</v>
      </c>
      <c r="D54">
        <v>1.8106211556787568E-2</v>
      </c>
      <c r="E54" s="7" t="s">
        <v>39</v>
      </c>
      <c r="F54">
        <v>1.1211931581143126E-2</v>
      </c>
    </row>
    <row r="55" spans="1:6" x14ac:dyDescent="0.3">
      <c r="A55" t="s">
        <v>40</v>
      </c>
      <c r="B55">
        <v>-5.2964133060770056E-3</v>
      </c>
      <c r="C55" t="s">
        <v>40</v>
      </c>
      <c r="D55">
        <v>8.5942818243703641E-3</v>
      </c>
      <c r="E55" s="7" t="s">
        <v>40</v>
      </c>
      <c r="F55">
        <v>-2.5269454901759017E-3</v>
      </c>
    </row>
    <row r="56" spans="1:6" x14ac:dyDescent="0.3">
      <c r="A56" t="s">
        <v>41</v>
      </c>
      <c r="B56">
        <v>1.9476879962634357E-2</v>
      </c>
      <c r="C56" t="s">
        <v>41</v>
      </c>
      <c r="D56">
        <v>-7.002446637981931E-3</v>
      </c>
      <c r="E56" s="7" t="s">
        <v>41</v>
      </c>
      <c r="F56">
        <v>1.1425912521972951E-2</v>
      </c>
    </row>
    <row r="57" spans="1:6" x14ac:dyDescent="0.3">
      <c r="A57" t="s">
        <v>42</v>
      </c>
      <c r="B57">
        <v>1.1270444861868234E-2</v>
      </c>
      <c r="C57" t="s">
        <v>42</v>
      </c>
      <c r="D57">
        <v>3.1520815632965112E-2</v>
      </c>
      <c r="E57" s="7" t="s">
        <v>42</v>
      </c>
      <c r="F57">
        <v>4.6516382967847292E-3</v>
      </c>
    </row>
    <row r="58" spans="1:6" x14ac:dyDescent="0.3">
      <c r="A58" t="s">
        <v>43</v>
      </c>
      <c r="B58">
        <v>1.3681873782449193E-2</v>
      </c>
      <c r="C58" t="s">
        <v>43</v>
      </c>
      <c r="D58">
        <v>-5.9303187546330526E-3</v>
      </c>
      <c r="E58" s="7" t="s">
        <v>43</v>
      </c>
      <c r="F58">
        <v>5.291543706115908E-3</v>
      </c>
    </row>
    <row r="59" spans="1:6" x14ac:dyDescent="0.3">
      <c r="A59" t="s">
        <v>44</v>
      </c>
      <c r="B59">
        <v>-9.9217877094972019E-3</v>
      </c>
      <c r="C59" t="s">
        <v>44</v>
      </c>
      <c r="D59">
        <v>-5.7419835943325816E-2</v>
      </c>
      <c r="E59" s="7" t="s">
        <v>44</v>
      </c>
      <c r="F59">
        <v>-1.3133920437291217E-2</v>
      </c>
    </row>
    <row r="60" spans="1:6" x14ac:dyDescent="0.3">
      <c r="A60" t="s">
        <v>45</v>
      </c>
      <c r="B60">
        <v>1.0472622218209693E-2</v>
      </c>
      <c r="C60" t="s">
        <v>45</v>
      </c>
      <c r="D60">
        <v>-2.0481715893108283E-2</v>
      </c>
      <c r="E60" s="7" t="s">
        <v>45</v>
      </c>
      <c r="F60">
        <v>1.564222888940064E-3</v>
      </c>
    </row>
    <row r="61" spans="1:6" x14ac:dyDescent="0.3">
      <c r="A61" t="s">
        <v>46</v>
      </c>
      <c r="B61">
        <v>-2.6580299307571983E-2</v>
      </c>
      <c r="C61" t="s">
        <v>46</v>
      </c>
      <c r="D61">
        <v>-1.5794669299111594E-2</v>
      </c>
      <c r="E61" s="7" t="s">
        <v>46</v>
      </c>
      <c r="F61">
        <v>-3.0160274463618141E-2</v>
      </c>
    </row>
    <row r="62" spans="1:6" x14ac:dyDescent="0.3">
      <c r="A62" t="s">
        <v>47</v>
      </c>
      <c r="B62">
        <v>1.9412574575493297E-2</v>
      </c>
      <c r="C62" t="s">
        <v>47</v>
      </c>
      <c r="D62">
        <v>-1.1762560408498279E-2</v>
      </c>
      <c r="E62" s="7" t="s">
        <v>47</v>
      </c>
      <c r="F62">
        <v>-9.0021119324182278E-3</v>
      </c>
    </row>
    <row r="63" spans="1:6" x14ac:dyDescent="0.3">
      <c r="A63" s="3">
        <v>45661.666666666664</v>
      </c>
      <c r="B63">
        <v>4.7719803718543298E-3</v>
      </c>
      <c r="C63" s="3">
        <v>45661.666666666664</v>
      </c>
      <c r="D63">
        <v>1.6331426462447042E-2</v>
      </c>
      <c r="E63" s="7">
        <v>45661.666666666664</v>
      </c>
      <c r="F63">
        <v>1.8114494259303688E-2</v>
      </c>
    </row>
    <row r="64" spans="1:6" x14ac:dyDescent="0.3">
      <c r="A64" s="3">
        <v>45692.666666666664</v>
      </c>
      <c r="B64">
        <v>3.1363412339262004E-3</v>
      </c>
      <c r="C64" s="3">
        <v>45692.666666666664</v>
      </c>
      <c r="D64">
        <v>2.451202905129333E-3</v>
      </c>
      <c r="E64" s="7">
        <v>45692.666666666664</v>
      </c>
      <c r="F64">
        <v>-1.3082498233865712E-4</v>
      </c>
    </row>
    <row r="65" spans="1:6" x14ac:dyDescent="0.3">
      <c r="A65" s="3">
        <v>45720.666666666664</v>
      </c>
      <c r="B65">
        <v>-9.2456116843092545E-2</v>
      </c>
      <c r="C65" s="3">
        <v>45720.666666666664</v>
      </c>
      <c r="D65">
        <v>-7.8065567831914554E-2</v>
      </c>
      <c r="E65" s="7">
        <v>45720.666666666664</v>
      </c>
      <c r="F65">
        <v>-2.3630083215575373E-2</v>
      </c>
    </row>
    <row r="66" spans="1:6" x14ac:dyDescent="0.3">
      <c r="A66" s="3">
        <v>45751.666666666664</v>
      </c>
      <c r="B66">
        <v>-7.2887445248289787E-2</v>
      </c>
      <c r="C66" s="3">
        <v>45751.666666666664</v>
      </c>
      <c r="D66">
        <v>-7.3575638506876179E-2</v>
      </c>
      <c r="E66" s="7">
        <v>45751.666666666664</v>
      </c>
      <c r="F66">
        <v>-3.5565918897912246E-2</v>
      </c>
    </row>
    <row r="67" spans="1:6" x14ac:dyDescent="0.3">
      <c r="A67" s="3">
        <v>45842.666666666664</v>
      </c>
      <c r="B67">
        <v>-3.6734260537211953E-2</v>
      </c>
      <c r="C67" s="3">
        <v>45842.666666666664</v>
      </c>
      <c r="D67">
        <v>3.5309087053334728E-2</v>
      </c>
      <c r="E67" s="7">
        <v>45842.666666666664</v>
      </c>
      <c r="F67">
        <v>-5.502445531347158E-3</v>
      </c>
    </row>
    <row r="68" spans="1:6" x14ac:dyDescent="0.3">
      <c r="A68" s="3">
        <v>45873.666666666664</v>
      </c>
      <c r="B68">
        <v>-4.9818141739226385E-2</v>
      </c>
      <c r="C68" s="3">
        <v>45873.666666666664</v>
      </c>
      <c r="D68">
        <v>-1.3723883654240101E-2</v>
      </c>
      <c r="E68" s="7">
        <v>45873.666666666664</v>
      </c>
      <c r="F68">
        <v>-9.2214832616107165E-3</v>
      </c>
    </row>
    <row r="69" spans="1:6" x14ac:dyDescent="0.3">
      <c r="A69" s="3">
        <v>45904.666666666664</v>
      </c>
      <c r="B69">
        <v>0.15328848161466194</v>
      </c>
      <c r="C69" s="3">
        <v>45904.666666666664</v>
      </c>
      <c r="D69">
        <v>0.18722741433021808</v>
      </c>
      <c r="E69" s="7">
        <v>45904.666666666664</v>
      </c>
      <c r="F69">
        <v>0.10133686823104696</v>
      </c>
    </row>
    <row r="70" spans="1:6" x14ac:dyDescent="0.3">
      <c r="A70" s="3">
        <v>45934.666666666664</v>
      </c>
      <c r="B70">
        <v>-4.2393764143827041E-2</v>
      </c>
      <c r="C70" s="3">
        <v>45934.666666666664</v>
      </c>
      <c r="D70">
        <v>-5.9127088253301895E-2</v>
      </c>
      <c r="E70" s="7">
        <v>45934.666666666664</v>
      </c>
      <c r="F70">
        <v>-2.3406489282696064E-2</v>
      </c>
    </row>
    <row r="71" spans="1:6" x14ac:dyDescent="0.3">
      <c r="A71" s="3">
        <v>45965.666666666664</v>
      </c>
      <c r="B71">
        <v>4.059447537023432E-2</v>
      </c>
      <c r="C71" s="3">
        <v>45965.666666666664</v>
      </c>
      <c r="D71">
        <v>3.1235474574695676E-2</v>
      </c>
      <c r="E71" s="7">
        <v>45965.666666666664</v>
      </c>
      <c r="F71">
        <v>1.8618067392159342E-2</v>
      </c>
    </row>
    <row r="72" spans="1:6" x14ac:dyDescent="0.3">
      <c r="A72" t="s">
        <v>48</v>
      </c>
      <c r="B72">
        <v>2.2053999495331843E-2</v>
      </c>
      <c r="C72" t="s">
        <v>48</v>
      </c>
      <c r="D72">
        <v>-1.9832326692509968E-3</v>
      </c>
      <c r="E72" s="7" t="s">
        <v>48</v>
      </c>
      <c r="F72">
        <v>-1.6475736903075978E-3</v>
      </c>
    </row>
    <row r="73" spans="1:6" x14ac:dyDescent="0.3">
      <c r="A73" t="s">
        <v>49</v>
      </c>
      <c r="B73">
        <v>-1.8763578905788261E-3</v>
      </c>
      <c r="C73" t="s">
        <v>49</v>
      </c>
      <c r="D73">
        <v>1.3458585493632094E-2</v>
      </c>
      <c r="E73" s="7" t="s">
        <v>49</v>
      </c>
      <c r="F73">
        <v>-5.3634511745441942E-3</v>
      </c>
    </row>
    <row r="74" spans="1:6" x14ac:dyDescent="0.3">
      <c r="A74" t="s">
        <v>50</v>
      </c>
      <c r="B74">
        <v>-3.8933412486395452E-2</v>
      </c>
      <c r="C74" t="s">
        <v>50</v>
      </c>
      <c r="D74">
        <v>-6.8716577540107016E-2</v>
      </c>
      <c r="E74" s="7" t="s">
        <v>50</v>
      </c>
      <c r="F74">
        <v>-3.6605916055271831E-2</v>
      </c>
    </row>
    <row r="75" spans="1:6" x14ac:dyDescent="0.3">
      <c r="A75" t="s">
        <v>51</v>
      </c>
      <c r="B75">
        <v>1.3949657692901525E-2</v>
      </c>
      <c r="C75" t="s">
        <v>51</v>
      </c>
      <c r="D75">
        <v>-2.8710881424059718E-2</v>
      </c>
      <c r="E75" s="7" t="s">
        <v>51</v>
      </c>
      <c r="F75">
        <v>-1.0306504130674741E-2</v>
      </c>
    </row>
    <row r="76" spans="1:6" x14ac:dyDescent="0.3">
      <c r="A76" t="s">
        <v>52</v>
      </c>
      <c r="B76">
        <v>-1.9392831759569466E-2</v>
      </c>
      <c r="C76" t="s">
        <v>52</v>
      </c>
      <c r="D76">
        <v>-4.5127598778204735E-2</v>
      </c>
      <c r="E76" s="7" t="s">
        <v>52</v>
      </c>
      <c r="F76">
        <v>-2.3546685518516419E-2</v>
      </c>
    </row>
    <row r="77" spans="1:6" x14ac:dyDescent="0.3">
      <c r="A77" t="s">
        <v>53</v>
      </c>
      <c r="B77">
        <v>3.4065023814454407E-2</v>
      </c>
      <c r="C77" t="s">
        <v>53</v>
      </c>
      <c r="D77">
        <v>2.0431328036322402E-2</v>
      </c>
      <c r="E77" s="7" t="s">
        <v>53</v>
      </c>
      <c r="F77">
        <v>2.144130095789705E-2</v>
      </c>
    </row>
    <row r="78" spans="1:6" x14ac:dyDescent="0.3">
      <c r="A78" t="s">
        <v>54</v>
      </c>
      <c r="B78">
        <v>2.4331631120456519E-2</v>
      </c>
      <c r="C78" t="s">
        <v>54</v>
      </c>
      <c r="D78">
        <v>3.8628779451916201E-2</v>
      </c>
      <c r="E78" s="7" t="s">
        <v>54</v>
      </c>
      <c r="F78">
        <v>2.063682460062154E-2</v>
      </c>
    </row>
    <row r="79" spans="1:6" x14ac:dyDescent="0.3">
      <c r="A79" t="s">
        <v>55</v>
      </c>
      <c r="B79">
        <v>1.8426197458455574E-2</v>
      </c>
      <c r="C79" t="s">
        <v>55</v>
      </c>
      <c r="D79">
        <v>3.621847921331918E-2</v>
      </c>
      <c r="E79" s="7" t="s">
        <v>55</v>
      </c>
      <c r="F79">
        <v>3.4482758620689724E-2</v>
      </c>
    </row>
    <row r="80" spans="1:6" x14ac:dyDescent="0.3">
      <c r="A80" t="s">
        <v>56</v>
      </c>
      <c r="B80">
        <v>4.3672313672793424E-3</v>
      </c>
      <c r="C80" t="s">
        <v>56</v>
      </c>
      <c r="D80">
        <v>4.3032979423094975E-2</v>
      </c>
      <c r="E80" s="7" t="s">
        <v>56</v>
      </c>
      <c r="F80">
        <v>1.1747998967208911E-2</v>
      </c>
    </row>
    <row r="81" spans="1:6" x14ac:dyDescent="0.3">
      <c r="A81" t="s">
        <v>57</v>
      </c>
      <c r="B81">
        <v>4.1093272171253119E-3</v>
      </c>
      <c r="C81" t="s">
        <v>57</v>
      </c>
      <c r="D81">
        <v>-2.053869020808937E-2</v>
      </c>
      <c r="E81" s="7" t="s">
        <v>57</v>
      </c>
      <c r="F81">
        <v>-1.7608778869465298E-3</v>
      </c>
    </row>
    <row r="82" spans="1:6" x14ac:dyDescent="0.3">
      <c r="A82" t="s">
        <v>58</v>
      </c>
      <c r="B82">
        <v>5.091843532882943E-3</v>
      </c>
      <c r="C82" t="s">
        <v>58</v>
      </c>
      <c r="D82">
        <v>2.6671571783315738E-3</v>
      </c>
      <c r="E82" s="7" t="s">
        <v>58</v>
      </c>
      <c r="F82">
        <v>7.3627160241333351E-3</v>
      </c>
    </row>
    <row r="83" spans="1:6" x14ac:dyDescent="0.3">
      <c r="A83" t="s">
        <v>59</v>
      </c>
      <c r="B83">
        <v>6.1076653567539033E-3</v>
      </c>
      <c r="C83" t="s">
        <v>59</v>
      </c>
      <c r="D83">
        <v>-9.1726288754351792E-4</v>
      </c>
      <c r="E83" s="7" t="s">
        <v>59</v>
      </c>
      <c r="F83">
        <v>3.09613237234791E-3</v>
      </c>
    </row>
    <row r="84" spans="1:6" x14ac:dyDescent="0.3">
      <c r="A84" s="3">
        <v>45662.666666666664</v>
      </c>
      <c r="B84">
        <v>3.8588235294117327E-3</v>
      </c>
      <c r="C84" s="3">
        <v>45662.666666666664</v>
      </c>
      <c r="D84">
        <v>2.4697025339698839E-2</v>
      </c>
      <c r="E84" s="7">
        <v>45662.666666666664</v>
      </c>
      <c r="F84">
        <v>7.6253605221879239E-2</v>
      </c>
    </row>
    <row r="85" spans="1:6" x14ac:dyDescent="0.3">
      <c r="A85" s="3">
        <v>45693.666666666664</v>
      </c>
      <c r="B85">
        <v>-3.7361710106881676E-2</v>
      </c>
      <c r="C85" s="3">
        <v>45693.666666666664</v>
      </c>
      <c r="D85">
        <v>2.5893737120329725E-2</v>
      </c>
      <c r="E85" s="7">
        <v>45693.666666666664</v>
      </c>
      <c r="F85">
        <v>2.3225199811941693E-2</v>
      </c>
    </row>
    <row r="86" spans="1:6" x14ac:dyDescent="0.3">
      <c r="A86" s="3">
        <v>45782.666666666664</v>
      </c>
      <c r="B86">
        <v>-3.1458485512539609E-2</v>
      </c>
      <c r="C86" s="3">
        <v>45782.666666666664</v>
      </c>
      <c r="D86">
        <v>-5.9388646288210199E-3</v>
      </c>
      <c r="E86" s="7">
        <v>45782.666666666664</v>
      </c>
      <c r="F86">
        <v>2.0446609079214375E-3</v>
      </c>
    </row>
    <row r="87" spans="1:6" x14ac:dyDescent="0.3">
      <c r="A87" s="3">
        <v>45813.666666666664</v>
      </c>
      <c r="B87">
        <v>-1.9106038513751092E-3</v>
      </c>
      <c r="C87" s="3">
        <v>45813.666666666664</v>
      </c>
      <c r="D87">
        <v>-2.4600246002458876E-3</v>
      </c>
      <c r="E87" s="7">
        <v>45813.666666666664</v>
      </c>
      <c r="F87">
        <v>-6.5570763693055768E-3</v>
      </c>
    </row>
    <row r="88" spans="1:6" x14ac:dyDescent="0.3">
      <c r="A88" s="3">
        <v>45843.666666666664</v>
      </c>
      <c r="B88">
        <v>-1.1384816885799159E-2</v>
      </c>
      <c r="C88" s="3">
        <v>45843.666666666664</v>
      </c>
      <c r="D88">
        <v>3.1002289941870671E-2</v>
      </c>
      <c r="E88" s="7">
        <v>45843.666666666664</v>
      </c>
      <c r="F88">
        <v>9.2312662989592798E-5</v>
      </c>
    </row>
    <row r="89" spans="1:6" x14ac:dyDescent="0.3">
      <c r="A89" s="3">
        <v>45874.666666666664</v>
      </c>
      <c r="B89">
        <v>6.3184713375796639E-3</v>
      </c>
      <c r="C89" s="3">
        <v>45874.666666666664</v>
      </c>
      <c r="D89">
        <v>2.6482145908081518E-3</v>
      </c>
      <c r="E89" s="7">
        <v>45874.666666666664</v>
      </c>
      <c r="F89">
        <v>1.1122649128879641E-2</v>
      </c>
    </row>
    <row r="90" spans="1:6" x14ac:dyDescent="0.3">
      <c r="A90" s="3">
        <v>45905.666666666664</v>
      </c>
      <c r="B90">
        <v>5.2660894222491868E-3</v>
      </c>
      <c r="C90" s="3">
        <v>45905.666666666664</v>
      </c>
      <c r="D90">
        <v>-6.1344466217943157E-3</v>
      </c>
      <c r="E90" s="7">
        <v>45905.666666666664</v>
      </c>
      <c r="F90">
        <v>1.278042768788375E-3</v>
      </c>
    </row>
    <row r="91" spans="1:6" x14ac:dyDescent="0.3">
      <c r="A91" s="3">
        <v>45996.666666666664</v>
      </c>
      <c r="B91">
        <v>6.1753891099581883E-2</v>
      </c>
      <c r="C91" s="3">
        <v>45996.666666666664</v>
      </c>
      <c r="D91">
        <v>5.4436348049721341E-2</v>
      </c>
      <c r="E91" s="7">
        <v>45996.666666666664</v>
      </c>
      <c r="F91">
        <v>2.4001094066965951E-2</v>
      </c>
    </row>
    <row r="92" spans="1:6" x14ac:dyDescent="0.3">
      <c r="A92" t="s">
        <v>60</v>
      </c>
      <c r="B92">
        <v>1.0152284263959461E-2</v>
      </c>
      <c r="C92" t="s">
        <v>60</v>
      </c>
      <c r="D92">
        <v>5.6341463414634203E-2</v>
      </c>
      <c r="E92" s="7" t="s">
        <v>60</v>
      </c>
      <c r="F92">
        <v>-2.6710590749233086E-4</v>
      </c>
    </row>
    <row r="93" spans="1:6" x14ac:dyDescent="0.3">
      <c r="A93" t="s">
        <v>61</v>
      </c>
      <c r="B93">
        <v>-2.8178274550321432E-3</v>
      </c>
      <c r="C93" t="s">
        <v>61</v>
      </c>
      <c r="D93">
        <v>4.1637804971907923E-2</v>
      </c>
      <c r="E93" s="7" t="s">
        <v>61</v>
      </c>
      <c r="F93">
        <v>8.4606136171349947E-3</v>
      </c>
    </row>
    <row r="94" spans="1:6" x14ac:dyDescent="0.3">
      <c r="A94" t="s">
        <v>62</v>
      </c>
      <c r="B94">
        <v>-4.144492064239739E-3</v>
      </c>
      <c r="C94" t="s">
        <v>62</v>
      </c>
      <c r="D94">
        <v>-3.7682872764887758E-3</v>
      </c>
      <c r="E94" s="7" t="s">
        <v>62</v>
      </c>
      <c r="F94">
        <v>4.1948160904313535E-4</v>
      </c>
    </row>
    <row r="95" spans="1:6" x14ac:dyDescent="0.3">
      <c r="A95" t="s">
        <v>63</v>
      </c>
      <c r="B95">
        <v>-8.985575786237775E-4</v>
      </c>
      <c r="C95" t="s">
        <v>63</v>
      </c>
      <c r="D95">
        <v>4.2275457984127648E-3</v>
      </c>
      <c r="E95" s="7" t="s">
        <v>63</v>
      </c>
      <c r="F95">
        <v>2.5158343080351918E-3</v>
      </c>
    </row>
    <row r="96" spans="1:6" x14ac:dyDescent="0.3">
      <c r="A96" t="s">
        <v>64</v>
      </c>
      <c r="B96">
        <v>-1.1739089273880478E-2</v>
      </c>
      <c r="C96" t="s">
        <v>64</v>
      </c>
      <c r="D96">
        <v>1.2555391432790804E-3</v>
      </c>
      <c r="E96" s="7" t="s">
        <v>64</v>
      </c>
      <c r="F96">
        <v>1.0126136438681892E-2</v>
      </c>
    </row>
    <row r="97" spans="1:6" x14ac:dyDescent="0.3">
      <c r="A97" t="s">
        <v>65</v>
      </c>
      <c r="B97">
        <v>-9.1962831688858493E-3</v>
      </c>
      <c r="C97" t="s">
        <v>65</v>
      </c>
      <c r="D97">
        <v>-8.7777531902338106E-3</v>
      </c>
      <c r="E97" s="7" t="s">
        <v>65</v>
      </c>
      <c r="F97">
        <v>-1.5254865212369268E-3</v>
      </c>
    </row>
    <row r="98" spans="1:6" x14ac:dyDescent="0.3">
      <c r="A98" t="s">
        <v>66</v>
      </c>
      <c r="B98">
        <v>-2.3059073769699363E-2</v>
      </c>
      <c r="C98" t="s">
        <v>66</v>
      </c>
      <c r="D98">
        <v>-1.9199285607977259E-2</v>
      </c>
      <c r="E98" s="7" t="s">
        <v>66</v>
      </c>
      <c r="F98">
        <v>-1.2222537486086E-2</v>
      </c>
    </row>
    <row r="99" spans="1:6" x14ac:dyDescent="0.3">
      <c r="A99" t="s">
        <v>67</v>
      </c>
      <c r="B99">
        <v>0</v>
      </c>
      <c r="C99" t="s">
        <v>67</v>
      </c>
      <c r="D99">
        <v>0</v>
      </c>
      <c r="E99" s="7" t="s">
        <v>67</v>
      </c>
      <c r="F99">
        <v>5.0599907196677207E-3</v>
      </c>
    </row>
    <row r="100" spans="1:6" x14ac:dyDescent="0.3">
      <c r="A100" t="s">
        <v>68</v>
      </c>
      <c r="B100">
        <v>-3.374734029392841E-2</v>
      </c>
      <c r="C100" t="s">
        <v>68</v>
      </c>
      <c r="D100">
        <v>-3.869499241274805E-3</v>
      </c>
      <c r="E100" s="7" t="s">
        <v>68</v>
      </c>
      <c r="F100">
        <v>-1.0288880094974293E-2</v>
      </c>
    </row>
    <row r="101" spans="1:6" x14ac:dyDescent="0.3">
      <c r="A101" t="s">
        <v>69</v>
      </c>
      <c r="B101">
        <v>2.5298304911148654E-2</v>
      </c>
      <c r="C101" t="s">
        <v>69</v>
      </c>
      <c r="D101">
        <v>3.2066417853606581E-2</v>
      </c>
      <c r="E101" s="7" t="s">
        <v>69</v>
      </c>
      <c r="F101">
        <v>2.3346217068728043E-2</v>
      </c>
    </row>
    <row r="102" spans="1:6" x14ac:dyDescent="0.3">
      <c r="A102" t="s">
        <v>70</v>
      </c>
      <c r="B102">
        <v>1.0488986564106664E-3</v>
      </c>
      <c r="C102" t="s">
        <v>70</v>
      </c>
      <c r="D102">
        <v>-5.0922509225092083E-3</v>
      </c>
      <c r="E102" s="7" t="s">
        <v>70</v>
      </c>
      <c r="F102">
        <v>-7.2282880027784062E-3</v>
      </c>
    </row>
    <row r="103" spans="1:6" x14ac:dyDescent="0.3">
      <c r="A103" t="s">
        <v>71</v>
      </c>
      <c r="B103">
        <v>-2.3450753417822517E-3</v>
      </c>
      <c r="C103" t="s">
        <v>71</v>
      </c>
      <c r="D103">
        <v>3.2490171352273535E-2</v>
      </c>
      <c r="E103" s="7" t="s">
        <v>71</v>
      </c>
      <c r="F103">
        <v>2.8861290886828608E-3</v>
      </c>
    </row>
    <row r="104" spans="1:6" x14ac:dyDescent="0.3">
      <c r="A104" t="s">
        <v>72</v>
      </c>
      <c r="B104">
        <v>4.5011252813203584E-3</v>
      </c>
      <c r="C104" t="s">
        <v>72</v>
      </c>
      <c r="D104">
        <v>-2.9168762123715802E-2</v>
      </c>
      <c r="E104" s="7" t="s">
        <v>72</v>
      </c>
      <c r="F104">
        <v>3.66268422429582E-3</v>
      </c>
    </row>
    <row r="105" spans="1:6" x14ac:dyDescent="0.3">
      <c r="A105" s="3">
        <v>45694.666666666664</v>
      </c>
      <c r="B105">
        <v>4.2320139407517766E-3</v>
      </c>
      <c r="C105" s="3">
        <v>45694.666666666664</v>
      </c>
      <c r="D105">
        <v>1.6650632724043515E-2</v>
      </c>
      <c r="E105" s="7">
        <v>45694.666666666664</v>
      </c>
      <c r="F105">
        <v>3.4972630115562031E-3</v>
      </c>
    </row>
    <row r="106" spans="1:6" x14ac:dyDescent="0.3">
      <c r="A106" s="3">
        <v>45722.666666666664</v>
      </c>
      <c r="B106">
        <v>7.7838373822509748E-3</v>
      </c>
      <c r="C106" s="3">
        <v>45722.666666666664</v>
      </c>
      <c r="D106">
        <v>2.7951666909302689E-2</v>
      </c>
      <c r="E106" s="7">
        <v>45722.666666666664</v>
      </c>
      <c r="F106">
        <v>2.1646427257181202E-3</v>
      </c>
    </row>
    <row r="107" spans="1:6" x14ac:dyDescent="0.3">
      <c r="A107" s="3">
        <v>45753.666666666664</v>
      </c>
      <c r="B107">
        <v>-2.2138042996999903E-3</v>
      </c>
      <c r="C107" s="3">
        <v>45753.666666666664</v>
      </c>
      <c r="D107">
        <v>4.9568049851295044E-3</v>
      </c>
      <c r="E107" s="7">
        <v>45753.666666666664</v>
      </c>
      <c r="F107">
        <v>1.9439704516490857E-3</v>
      </c>
    </row>
    <row r="108" spans="1:6" x14ac:dyDescent="0.3">
      <c r="A108" s="3">
        <v>45783.666666666664</v>
      </c>
      <c r="B108">
        <v>-1.0797751701015669E-2</v>
      </c>
      <c r="C108" s="3">
        <v>45783.666666666664</v>
      </c>
      <c r="D108">
        <v>-1.3599210822998722E-2</v>
      </c>
      <c r="E108" s="7">
        <v>45783.666666666664</v>
      </c>
      <c r="F108">
        <v>8.2135080949403971E-3</v>
      </c>
    </row>
    <row r="109" spans="1:6" x14ac:dyDescent="0.3">
      <c r="A109" s="3">
        <v>45814.666666666664</v>
      </c>
      <c r="B109">
        <v>1.6398345212580333E-2</v>
      </c>
      <c r="C109" s="3">
        <v>45814.666666666664</v>
      </c>
      <c r="D109">
        <v>1.2358025573255159E-2</v>
      </c>
      <c r="E109" s="7">
        <v>45814.666666666664</v>
      </c>
      <c r="F109">
        <v>5.7731782415326475E-3</v>
      </c>
    </row>
    <row r="110" spans="1:6" x14ac:dyDescent="0.3">
      <c r="A110" s="3">
        <v>45906.666666666664</v>
      </c>
      <c r="B110">
        <v>-1.2112593173793641E-2</v>
      </c>
      <c r="C110" s="3">
        <v>45906.666666666664</v>
      </c>
      <c r="D110">
        <v>6.4211120519333661E-3</v>
      </c>
      <c r="E110" s="7">
        <v>45906.666666666664</v>
      </c>
      <c r="F110">
        <v>5.0384795271907912E-3</v>
      </c>
    </row>
    <row r="111" spans="1:6" x14ac:dyDescent="0.3">
      <c r="A111" s="3">
        <v>45936.666666666664</v>
      </c>
      <c r="B111">
        <v>6.0560933234053062E-3</v>
      </c>
      <c r="C111" s="3">
        <v>45936.666666666664</v>
      </c>
      <c r="D111">
        <v>9.3248264740938974E-3</v>
      </c>
      <c r="E111" s="7">
        <v>45936.666666666664</v>
      </c>
      <c r="F111">
        <v>-3.87096774193545E-3</v>
      </c>
    </row>
    <row r="112" spans="1:6" x14ac:dyDescent="0.3">
      <c r="A112" s="3">
        <v>45967.666666666664</v>
      </c>
      <c r="B112">
        <v>-1.9193763260472625E-2</v>
      </c>
      <c r="C112" s="3">
        <v>45967.666666666664</v>
      </c>
      <c r="D112">
        <v>-7.8494026118365885E-3</v>
      </c>
      <c r="E112" s="7">
        <v>45967.666666666664</v>
      </c>
      <c r="F112">
        <v>3.6099549817378506E-3</v>
      </c>
    </row>
    <row r="113" spans="1:6" x14ac:dyDescent="0.3">
      <c r="A113" s="3">
        <v>45997.666666666664</v>
      </c>
      <c r="B113">
        <v>2.112888620585509E-3</v>
      </c>
      <c r="C113" s="3">
        <v>45997.666666666664</v>
      </c>
      <c r="D113">
        <v>1.5192886648463119E-2</v>
      </c>
      <c r="E113" s="7">
        <v>45997.666666666664</v>
      </c>
      <c r="F113">
        <v>1.3224154712030808E-2</v>
      </c>
    </row>
    <row r="114" spans="1:6" x14ac:dyDescent="0.3">
      <c r="A114" t="s">
        <v>73</v>
      </c>
      <c r="B114">
        <v>-1.3805220883534138E-2</v>
      </c>
      <c r="C114" t="s">
        <v>73</v>
      </c>
      <c r="D114">
        <v>-2.089655172413794E-2</v>
      </c>
      <c r="E114" s="7" t="s">
        <v>73</v>
      </c>
      <c r="F114">
        <v>-8.165055234197225E-3</v>
      </c>
    </row>
    <row r="115" spans="1:6" x14ac:dyDescent="0.3">
      <c r="A115" t="s">
        <v>74</v>
      </c>
      <c r="B115">
        <v>1.0027996945787727E-2</v>
      </c>
      <c r="C115" t="s">
        <v>74</v>
      </c>
      <c r="D115">
        <v>1.9158977248714508E-2</v>
      </c>
      <c r="E115" s="7" t="s">
        <v>74</v>
      </c>
      <c r="F115">
        <v>8.8007411150412811E-3</v>
      </c>
    </row>
    <row r="116" spans="1:6" x14ac:dyDescent="0.3">
      <c r="A116" t="s">
        <v>75</v>
      </c>
      <c r="B116">
        <v>-1.4010684406813835E-2</v>
      </c>
      <c r="C116" t="s">
        <v>75</v>
      </c>
      <c r="D116">
        <v>-3.9394567696454021E-3</v>
      </c>
      <c r="E116" s="7" t="s">
        <v>75</v>
      </c>
      <c r="F116">
        <v>-2.2957799390574069E-3</v>
      </c>
    </row>
    <row r="117" spans="1:6" x14ac:dyDescent="0.3">
      <c r="A117" t="s">
        <v>76</v>
      </c>
      <c r="B117">
        <v>4.8047434062565234E-3</v>
      </c>
      <c r="C117" t="s">
        <v>76</v>
      </c>
      <c r="D117">
        <v>9.4365806272549632E-3</v>
      </c>
      <c r="E117" s="7" t="s">
        <v>76</v>
      </c>
      <c r="F117">
        <v>4.6021253451593771E-3</v>
      </c>
    </row>
    <row r="118" spans="1:6" x14ac:dyDescent="0.3">
      <c r="A118" t="s">
        <v>77</v>
      </c>
      <c r="B118">
        <v>2.2484484688167602E-2</v>
      </c>
      <c r="C118" t="s">
        <v>77</v>
      </c>
      <c r="D118">
        <v>-1.1204289249381327E-2</v>
      </c>
      <c r="E118" s="7" t="s">
        <v>77</v>
      </c>
      <c r="F118">
        <v>-5.9137098117608526E-3</v>
      </c>
    </row>
    <row r="119" spans="1:6" x14ac:dyDescent="0.3">
      <c r="A119" t="s">
        <v>78</v>
      </c>
      <c r="B119">
        <v>2.4875621890547263E-3</v>
      </c>
      <c r="C119" t="s">
        <v>78</v>
      </c>
      <c r="D119">
        <v>2.2245394508167756E-3</v>
      </c>
      <c r="E119" s="7" t="s">
        <v>78</v>
      </c>
      <c r="F119">
        <v>1.8014243820695483E-2</v>
      </c>
    </row>
    <row r="120" spans="1:6" x14ac:dyDescent="0.3">
      <c r="A120" t="s">
        <v>79</v>
      </c>
      <c r="B120">
        <v>-5.9553349875929957E-3</v>
      </c>
      <c r="C120" t="s">
        <v>79</v>
      </c>
      <c r="D120">
        <v>2.5872234167996243E-2</v>
      </c>
      <c r="E120" s="7" t="s">
        <v>79</v>
      </c>
      <c r="F120">
        <v>8.4567901234568182E-3</v>
      </c>
    </row>
    <row r="121" spans="1:6" x14ac:dyDescent="0.3">
      <c r="A121" t="s">
        <v>80</v>
      </c>
      <c r="B121">
        <v>6.2905641537693005E-3</v>
      </c>
      <c r="C121" t="s">
        <v>80</v>
      </c>
      <c r="D121">
        <v>4.3340094658553055E-2</v>
      </c>
      <c r="E121" s="7" t="s">
        <v>80</v>
      </c>
      <c r="F121">
        <v>4.407173899736729E-3</v>
      </c>
    </row>
    <row r="122" spans="1:6" x14ac:dyDescent="0.3">
      <c r="A122" t="s">
        <v>81</v>
      </c>
      <c r="B122">
        <v>-2.7783290335384116E-3</v>
      </c>
      <c r="C122" t="s">
        <v>81</v>
      </c>
      <c r="D122">
        <v>4.6011276002851913E-3</v>
      </c>
      <c r="E122" s="7" t="s">
        <v>81</v>
      </c>
      <c r="F122">
        <v>1.0522680642736724E-2</v>
      </c>
    </row>
    <row r="123" spans="1:6" x14ac:dyDescent="0.3">
      <c r="A123" t="s">
        <v>82</v>
      </c>
      <c r="B123">
        <v>3.9800995024881838E-4</v>
      </c>
      <c r="C123" t="s">
        <v>82</v>
      </c>
      <c r="D123">
        <v>1.7610630886337179E-2</v>
      </c>
      <c r="E123" s="7" t="s">
        <v>82</v>
      </c>
      <c r="F123">
        <v>-3.0354809528595657E-3</v>
      </c>
    </row>
    <row r="124" spans="1:6" x14ac:dyDescent="0.3">
      <c r="A124" t="s">
        <v>83</v>
      </c>
      <c r="B124">
        <v>2.0340163119156429E-2</v>
      </c>
      <c r="C124" t="s">
        <v>83</v>
      </c>
      <c r="D124">
        <v>1.5213946117274744E-3</v>
      </c>
      <c r="E124" s="7" t="s">
        <v>83</v>
      </c>
      <c r="F124">
        <v>2.964068234060627E-3</v>
      </c>
    </row>
    <row r="125" spans="1:6" x14ac:dyDescent="0.3">
      <c r="A125" s="3">
        <v>45664.666666666664</v>
      </c>
      <c r="B125">
        <v>1.2916118340888072E-2</v>
      </c>
      <c r="C125" s="3">
        <v>45664.666666666664</v>
      </c>
      <c r="D125">
        <v>-2.9685423128046062E-2</v>
      </c>
      <c r="E125" s="7">
        <v>45664.666666666664</v>
      </c>
      <c r="F125">
        <v>-1.0775818741078816E-2</v>
      </c>
    </row>
    <row r="126" spans="1:6" x14ac:dyDescent="0.3">
      <c r="A126" s="3">
        <v>45695.666666666664</v>
      </c>
      <c r="B126">
        <v>2.2230776633625274E-2</v>
      </c>
      <c r="C126" s="3">
        <v>45695.666666666664</v>
      </c>
      <c r="D126">
        <v>2.5766470971950346E-2</v>
      </c>
      <c r="E126" s="7">
        <v>45695.666666666664</v>
      </c>
      <c r="F126">
        <v>-1.9510212376791715E-3</v>
      </c>
    </row>
    <row r="127" spans="1:6" x14ac:dyDescent="0.3">
      <c r="A127" s="3">
        <v>45723.545138888891</v>
      </c>
      <c r="B127">
        <v>5.2250047072115125E-3</v>
      </c>
      <c r="C127" s="3">
        <v>45723.545138888891</v>
      </c>
      <c r="D127">
        <v>1.3290937996820372E-2</v>
      </c>
      <c r="E127" s="7">
        <v>45723.545138888891</v>
      </c>
      <c r="F127">
        <v>1.5781221364719298E-2</v>
      </c>
    </row>
    <row r="128" spans="1:6" x14ac:dyDescent="0.3">
      <c r="A128" s="3">
        <v>45845.666666666664</v>
      </c>
      <c r="B128">
        <v>-1.6857878716928225E-2</v>
      </c>
      <c r="C128" s="3">
        <v>45845.666666666664</v>
      </c>
      <c r="D128">
        <v>-6.9034768419731036E-3</v>
      </c>
      <c r="E128" s="7">
        <v>45845.666666666664</v>
      </c>
      <c r="F128">
        <v>-2.2452088846121958E-3</v>
      </c>
    </row>
    <row r="129" spans="1:6" x14ac:dyDescent="0.3">
      <c r="A129" s="3">
        <v>45876.666666666664</v>
      </c>
      <c r="B129">
        <v>2.8578232912599322E-4</v>
      </c>
      <c r="C129" s="3">
        <v>45876.666666666664</v>
      </c>
      <c r="D129">
        <v>1.1122345803842207E-2</v>
      </c>
      <c r="E129" s="7">
        <v>45876.666666666664</v>
      </c>
      <c r="F129">
        <v>-2.2100779554770204E-3</v>
      </c>
    </row>
    <row r="130" spans="1:6" x14ac:dyDescent="0.3">
      <c r="A130" s="3">
        <v>45907.666666666664</v>
      </c>
      <c r="B130">
        <v>5.3806961573258198E-3</v>
      </c>
      <c r="C130" s="3">
        <v>45907.666666666664</v>
      </c>
      <c r="D130">
        <v>1.7999999999999971E-2</v>
      </c>
      <c r="E130" s="7">
        <v>45907.666666666664</v>
      </c>
      <c r="F130">
        <v>1.3873786798759587E-2</v>
      </c>
    </row>
    <row r="131" spans="1:6" x14ac:dyDescent="0.3">
      <c r="A131" s="3">
        <v>45937.666666666664</v>
      </c>
      <c r="B131">
        <v>6.0149663730226875E-3</v>
      </c>
      <c r="C131" s="3">
        <v>45937.666666666664</v>
      </c>
      <c r="D131">
        <v>7.4901768172887951E-3</v>
      </c>
      <c r="E131" s="7">
        <v>45937.666666666664</v>
      </c>
      <c r="F131">
        <v>-4.0316974836646195E-3</v>
      </c>
    </row>
    <row r="132" spans="1:6" x14ac:dyDescent="0.3">
      <c r="A132" s="3">
        <v>45968.666666666664</v>
      </c>
      <c r="B132">
        <v>-5.8848453462642999E-3</v>
      </c>
      <c r="C132" s="3">
        <v>45968.666666666664</v>
      </c>
      <c r="D132">
        <v>4.9969530773917928E-3</v>
      </c>
      <c r="E132" s="7">
        <v>45968.666666666664</v>
      </c>
      <c r="F132">
        <v>3.6691393475312573E-3</v>
      </c>
    </row>
    <row r="133" spans="1:6" x14ac:dyDescent="0.3">
      <c r="A133" t="s">
        <v>84</v>
      </c>
      <c r="B133">
        <v>-1.202879333207043E-2</v>
      </c>
      <c r="C133" t="s">
        <v>84</v>
      </c>
      <c r="D133">
        <v>-5.1540140674265975E-3</v>
      </c>
      <c r="E133" s="7" t="s">
        <v>84</v>
      </c>
      <c r="F133">
        <v>-5.9604227926569843E-4</v>
      </c>
    </row>
    <row r="134" spans="1:6" x14ac:dyDescent="0.3">
      <c r="A134" t="s">
        <v>85</v>
      </c>
      <c r="B134">
        <v>2.3487680951011845E-3</v>
      </c>
      <c r="C134" t="s">
        <v>85</v>
      </c>
      <c r="D134">
        <v>4.0409581276284488E-2</v>
      </c>
      <c r="E134" s="7" t="s">
        <v>85</v>
      </c>
      <c r="F134">
        <v>5.5663790704147181E-3</v>
      </c>
    </row>
    <row r="135" spans="1:6" x14ac:dyDescent="0.3">
      <c r="A135" t="s">
        <v>86</v>
      </c>
      <c r="B135">
        <v>5.0212806656782689E-3</v>
      </c>
      <c r="C135" t="s">
        <v>86</v>
      </c>
      <c r="D135">
        <v>3.9250146455771292E-3</v>
      </c>
      <c r="E135" s="7" t="s">
        <v>86</v>
      </c>
      <c r="F135">
        <v>-3.9539757225888386E-4</v>
      </c>
    </row>
    <row r="136" spans="1:6" x14ac:dyDescent="0.3">
      <c r="A136" t="s">
        <v>87</v>
      </c>
      <c r="B136">
        <v>-6.6615911686327724E-4</v>
      </c>
      <c r="C136" t="s">
        <v>87</v>
      </c>
      <c r="D136">
        <v>9.5115831242340871E-3</v>
      </c>
      <c r="E136" s="7" t="s">
        <v>87</v>
      </c>
      <c r="F136">
        <v>1.2024840789525698E-2</v>
      </c>
    </row>
    <row r="137" spans="1:6" x14ac:dyDescent="0.3">
      <c r="A137" t="s">
        <v>88</v>
      </c>
      <c r="B137">
        <v>5.5232834968098107E-3</v>
      </c>
      <c r="C137" t="s">
        <v>88</v>
      </c>
      <c r="D137">
        <v>-3.4104046242774762E-3</v>
      </c>
      <c r="E137" s="7" t="s">
        <v>88</v>
      </c>
      <c r="F137">
        <v>-3.2245456322063265E-3</v>
      </c>
    </row>
    <row r="138" spans="1:6" x14ac:dyDescent="0.3">
      <c r="A138" t="s">
        <v>89</v>
      </c>
      <c r="B138">
        <v>6.155885974050492E-3</v>
      </c>
      <c r="C138" t="s">
        <v>89</v>
      </c>
      <c r="D138">
        <v>-5.9741314308914863E-3</v>
      </c>
      <c r="E138" s="7" t="s">
        <v>89</v>
      </c>
      <c r="F138">
        <v>1.9605920988120633E-5</v>
      </c>
    </row>
    <row r="139" spans="1:6" x14ac:dyDescent="0.3">
      <c r="A139" t="s">
        <v>90</v>
      </c>
      <c r="B139">
        <v>9.0361445783133289E-3</v>
      </c>
      <c r="C139" t="s">
        <v>90</v>
      </c>
      <c r="D139">
        <v>-2.5382191620959241E-2</v>
      </c>
      <c r="E139" s="7" t="s">
        <v>90</v>
      </c>
      <c r="F139">
        <v>-9.3910520330941858E-3</v>
      </c>
    </row>
    <row r="140" spans="1:6" x14ac:dyDescent="0.3">
      <c r="A140" t="s">
        <v>91</v>
      </c>
      <c r="B140">
        <v>-1.1660447761194029E-3</v>
      </c>
      <c r="C140" t="s">
        <v>91</v>
      </c>
      <c r="D140">
        <v>2.2451056696401843E-2</v>
      </c>
      <c r="E140" s="7" t="s">
        <v>91</v>
      </c>
      <c r="F140">
        <v>1.1874839194886354E-3</v>
      </c>
    </row>
    <row r="141" spans="1:6" x14ac:dyDescent="0.3">
      <c r="A141" t="s">
        <v>92</v>
      </c>
      <c r="B141">
        <v>-1.8211533971515983E-3</v>
      </c>
      <c r="C141" t="s">
        <v>92</v>
      </c>
      <c r="D141">
        <v>1.7332240309169737E-2</v>
      </c>
      <c r="E141" s="7" t="s">
        <v>92</v>
      </c>
      <c r="F141">
        <v>9.9037302073655114E-3</v>
      </c>
    </row>
    <row r="142" spans="1:6" x14ac:dyDescent="0.3">
      <c r="A142" t="s">
        <v>93</v>
      </c>
      <c r="B142">
        <v>5.6137724550900337E-4</v>
      </c>
      <c r="C142" t="s">
        <v>93</v>
      </c>
      <c r="D142">
        <v>-1.3813744675953096E-3</v>
      </c>
      <c r="E142" s="7" t="s">
        <v>93</v>
      </c>
      <c r="F142">
        <v>5.5394613216411702E-3</v>
      </c>
    </row>
    <row r="143" spans="1:6" x14ac:dyDescent="0.3">
      <c r="A143" t="s">
        <v>94</v>
      </c>
      <c r="B143">
        <v>7.9483822704327618E-4</v>
      </c>
      <c r="C143" t="s">
        <v>94</v>
      </c>
      <c r="D143">
        <v>1.8731988472622477E-2</v>
      </c>
      <c r="E143" s="7" t="s">
        <v>94</v>
      </c>
      <c r="F143">
        <v>-2.3554145334917292E-3</v>
      </c>
    </row>
    <row r="144" spans="1:6" x14ac:dyDescent="0.3">
      <c r="A144" t="s">
        <v>95</v>
      </c>
      <c r="B144">
        <v>-1.298761971501986E-2</v>
      </c>
      <c r="C144" t="s">
        <v>95</v>
      </c>
      <c r="D144">
        <v>-7.0155586987270674E-3</v>
      </c>
      <c r="E144" s="7" t="s">
        <v>95</v>
      </c>
      <c r="F144">
        <v>1.3658536585375619E-4</v>
      </c>
    </row>
    <row r="145" spans="1:6" x14ac:dyDescent="0.3">
      <c r="A145" t="s">
        <v>96</v>
      </c>
      <c r="B145">
        <v>-1.0507880910683007E-2</v>
      </c>
      <c r="C145" t="s">
        <v>96</v>
      </c>
      <c r="D145">
        <v>2.1423280724745142E-2</v>
      </c>
      <c r="E145" s="7" t="s">
        <v>96</v>
      </c>
      <c r="F145">
        <v>1.3071385371753303E-3</v>
      </c>
    </row>
    <row r="146" spans="1:6" x14ac:dyDescent="0.3">
      <c r="A146" t="s">
        <v>97</v>
      </c>
      <c r="B146">
        <v>-7.0796460176992017E-3</v>
      </c>
      <c r="C146" t="s">
        <v>97</v>
      </c>
      <c r="D146">
        <v>-7.8094494338149471E-3</v>
      </c>
      <c r="E146" s="7" t="s">
        <v>97</v>
      </c>
      <c r="F146">
        <v>3.9474709687475629E-2</v>
      </c>
    </row>
    <row r="147" spans="1:6" x14ac:dyDescent="0.3">
      <c r="A147" s="3">
        <v>45665.666666666664</v>
      </c>
      <c r="B147">
        <v>-2.5003613238907346E-2</v>
      </c>
      <c r="C147" s="3">
        <v>45665.666666666664</v>
      </c>
      <c r="D147">
        <v>-2.3331646708270117E-2</v>
      </c>
      <c r="E147" s="7">
        <v>45665.666666666664</v>
      </c>
      <c r="F147">
        <v>-1.7600749765698195E-2</v>
      </c>
    </row>
    <row r="148" spans="1:6" x14ac:dyDescent="0.3">
      <c r="A148" s="3">
        <v>45755.666666666664</v>
      </c>
      <c r="B148">
        <v>4.7929637315940257E-3</v>
      </c>
      <c r="C148" s="3">
        <v>45755.666666666664</v>
      </c>
      <c r="D148">
        <v>3.6150126640571038E-2</v>
      </c>
      <c r="E148" s="7">
        <v>45755.666666666664</v>
      </c>
      <c r="F148">
        <v>2.1999198641506502E-2</v>
      </c>
    </row>
    <row r="149" spans="1:6" x14ac:dyDescent="0.3">
      <c r="A149" s="3">
        <v>45785.666666666664</v>
      </c>
      <c r="B149">
        <v>-2.114580772067897E-3</v>
      </c>
      <c r="C149" s="3">
        <v>45785.666666666664</v>
      </c>
      <c r="D149">
        <v>-9.6666666666667175E-3</v>
      </c>
      <c r="E149" s="7">
        <v>45785.666666666664</v>
      </c>
      <c r="F149">
        <v>-1.4730042565902447E-2</v>
      </c>
    </row>
    <row r="150" spans="1:6" x14ac:dyDescent="0.3">
      <c r="A150" s="3">
        <v>45816.666666666664</v>
      </c>
      <c r="B150">
        <v>5.0906761285235629E-2</v>
      </c>
      <c r="C150" s="3">
        <v>45816.666666666664</v>
      </c>
      <c r="D150">
        <v>6.5073488163356705E-3</v>
      </c>
      <c r="E150" s="7">
        <v>45816.666666666664</v>
      </c>
      <c r="F150">
        <v>-5.3244907626716163E-3</v>
      </c>
    </row>
    <row r="151" spans="1:6" x14ac:dyDescent="0.3">
      <c r="A151" s="3">
        <v>45846.666666666664</v>
      </c>
      <c r="B151">
        <v>3.1793669402110203E-2</v>
      </c>
      <c r="C151" s="3">
        <v>45846.666666666664</v>
      </c>
      <c r="D151">
        <v>7.5242447887639216E-3</v>
      </c>
      <c r="E151" s="7">
        <v>45846.666666666664</v>
      </c>
      <c r="F151">
        <v>-7.8104164285442571E-3</v>
      </c>
    </row>
    <row r="152" spans="1:6" x14ac:dyDescent="0.3">
      <c r="A152" s="3">
        <v>45877.666666666664</v>
      </c>
      <c r="B152">
        <v>4.2357860291778363E-2</v>
      </c>
      <c r="C152" s="3">
        <v>45877.666666666664</v>
      </c>
      <c r="D152">
        <v>1.0676550312551741E-2</v>
      </c>
      <c r="E152" s="7">
        <v>45877.666666666664</v>
      </c>
      <c r="F152">
        <v>2.3039705091773516E-3</v>
      </c>
    </row>
    <row r="153" spans="1:6" x14ac:dyDescent="0.3">
      <c r="A153" s="3">
        <v>45969.666666666664</v>
      </c>
      <c r="B153">
        <v>-9.4615216917374647E-3</v>
      </c>
      <c r="C153" s="3">
        <v>45969.666666666664</v>
      </c>
      <c r="D153">
        <v>-3.5030103995620492E-3</v>
      </c>
      <c r="E153" s="7">
        <v>45969.666666666664</v>
      </c>
      <c r="F153">
        <v>-5.1720174699253284E-4</v>
      </c>
    </row>
    <row r="154" spans="1:6" x14ac:dyDescent="0.3">
      <c r="A154" s="3">
        <v>45999.666666666664</v>
      </c>
      <c r="B154">
        <v>1.0872435953869173E-2</v>
      </c>
      <c r="C154" s="3">
        <v>45999.666666666664</v>
      </c>
      <c r="D154">
        <v>6.0419641876304202E-3</v>
      </c>
      <c r="E154" s="7">
        <v>45999.666666666664</v>
      </c>
      <c r="F154">
        <v>1.431665293136828E-2</v>
      </c>
    </row>
    <row r="155" spans="1:6" x14ac:dyDescent="0.3">
      <c r="A155" t="s">
        <v>98</v>
      </c>
      <c r="B155">
        <v>1.6024384933594631E-2</v>
      </c>
      <c r="C155" t="s">
        <v>98</v>
      </c>
      <c r="D155">
        <v>-8.5717405547062302E-3</v>
      </c>
      <c r="E155" s="7" t="s">
        <v>98</v>
      </c>
      <c r="F155">
        <v>-1.6363086690348364E-2</v>
      </c>
    </row>
    <row r="156" spans="1:6" x14ac:dyDescent="0.3">
      <c r="A156" t="s">
        <v>99</v>
      </c>
      <c r="B156">
        <v>-2.3571765310933497E-3</v>
      </c>
      <c r="C156" t="s">
        <v>99</v>
      </c>
      <c r="D156">
        <v>2.3679718046148292E-3</v>
      </c>
      <c r="E156" s="7" t="s">
        <v>99</v>
      </c>
      <c r="F156">
        <v>3.6497752506818876E-3</v>
      </c>
    </row>
    <row r="157" spans="1:6" x14ac:dyDescent="0.3">
      <c r="A157" t="s">
        <v>100</v>
      </c>
      <c r="B157">
        <v>-5.1121230346249579E-3</v>
      </c>
      <c r="C157" t="s">
        <v>100</v>
      </c>
      <c r="D157">
        <v>-8.6254257773872179E-3</v>
      </c>
      <c r="E157" s="7" t="s">
        <v>100</v>
      </c>
      <c r="F157">
        <v>-4.4212218649518813E-3</v>
      </c>
    </row>
    <row r="158" spans="1:6" x14ac:dyDescent="0.3">
      <c r="A158" t="s">
        <v>101</v>
      </c>
      <c r="B158">
        <v>-3.02258301308354E-3</v>
      </c>
      <c r="C158" t="s">
        <v>101</v>
      </c>
      <c r="D158">
        <v>8.6450540315877109E-3</v>
      </c>
      <c r="E158" s="7" t="s">
        <v>101</v>
      </c>
      <c r="F158">
        <v>-5.9019166810849082E-3</v>
      </c>
    </row>
    <row r="159" spans="1:6" x14ac:dyDescent="0.3">
      <c r="A159" t="s">
        <v>102</v>
      </c>
      <c r="B159">
        <v>-1.429252024773633E-3</v>
      </c>
      <c r="C159" t="s">
        <v>102</v>
      </c>
      <c r="D159">
        <v>-3.4998077028734711E-2</v>
      </c>
      <c r="E159" s="7" t="s">
        <v>102</v>
      </c>
      <c r="F159">
        <v>-1.4175207890156721E-2</v>
      </c>
    </row>
    <row r="160" spans="1:6" x14ac:dyDescent="0.3">
      <c r="A160" t="s">
        <v>103</v>
      </c>
      <c r="B160">
        <v>-1.9734559333796024E-2</v>
      </c>
      <c r="C160" t="s">
        <v>103</v>
      </c>
      <c r="D160">
        <v>-1.3664313368252146E-3</v>
      </c>
      <c r="E160" s="7" t="s">
        <v>103</v>
      </c>
      <c r="F160">
        <v>-7.9447594012985352E-3</v>
      </c>
    </row>
    <row r="161" spans="1:6" x14ac:dyDescent="0.3">
      <c r="A161" t="s">
        <v>104</v>
      </c>
      <c r="B161">
        <v>-4.9112871111897053E-3</v>
      </c>
      <c r="C161" t="s">
        <v>104</v>
      </c>
      <c r="D161">
        <v>-2.3945267958951875E-3</v>
      </c>
      <c r="E161" s="7" t="s">
        <v>104</v>
      </c>
      <c r="F161">
        <v>-2.926520604286993E-3</v>
      </c>
    </row>
    <row r="162" spans="1:6" x14ac:dyDescent="0.3">
      <c r="A162" t="s">
        <v>105</v>
      </c>
      <c r="B162">
        <v>1.2716763005780281E-2</v>
      </c>
      <c r="C162" t="s">
        <v>105</v>
      </c>
      <c r="D162">
        <v>1.7201965938964565E-2</v>
      </c>
      <c r="E162" s="7" t="s">
        <v>105</v>
      </c>
      <c r="F162">
        <v>5.9297160082500576E-3</v>
      </c>
    </row>
    <row r="163" spans="1:6" x14ac:dyDescent="0.3">
      <c r="A163" t="s">
        <v>106</v>
      </c>
      <c r="B163">
        <v>-2.6343519494204178E-3</v>
      </c>
      <c r="C163" t="s">
        <v>107</v>
      </c>
      <c r="D163">
        <v>1.224787909433102E-2</v>
      </c>
      <c r="E163" s="7" t="s">
        <v>106</v>
      </c>
      <c r="F163">
        <v>-5.8553319007157052E-3</v>
      </c>
    </row>
    <row r="164" spans="1:6" x14ac:dyDescent="0.3">
      <c r="A164" t="s">
        <v>108</v>
      </c>
      <c r="B164">
        <v>9.4646944884663048E-3</v>
      </c>
      <c r="C164" t="s">
        <v>109</v>
      </c>
      <c r="D164">
        <v>-3.3246378420380647E-2</v>
      </c>
      <c r="E164" s="7" t="s">
        <v>108</v>
      </c>
      <c r="F164">
        <v>-4.4024907785665535E-3</v>
      </c>
    </row>
    <row r="165" spans="1:6" x14ac:dyDescent="0.3">
      <c r="A165" t="s">
        <v>110</v>
      </c>
      <c r="B165">
        <v>5.1458723998081494E-3</v>
      </c>
      <c r="C165" s="3">
        <v>45697.666666666664</v>
      </c>
      <c r="D165">
        <v>-1.9520036743598607E-2</v>
      </c>
      <c r="E165" s="7" t="s">
        <v>110</v>
      </c>
      <c r="F165">
        <v>9.3618038403314244E-3</v>
      </c>
    </row>
    <row r="166" spans="1:6" x14ac:dyDescent="0.3">
      <c r="A166" t="s">
        <v>107</v>
      </c>
      <c r="B166">
        <v>8.9808668488871243E-3</v>
      </c>
      <c r="C166" s="3">
        <v>45725.666666666664</v>
      </c>
      <c r="D166">
        <v>-9.3687785454969318E-4</v>
      </c>
      <c r="E166" s="7" t="s">
        <v>107</v>
      </c>
      <c r="F166">
        <v>5.722855902435129E-3</v>
      </c>
    </row>
    <row r="167" spans="1:6" x14ac:dyDescent="0.3">
      <c r="A167" t="s">
        <v>109</v>
      </c>
      <c r="B167">
        <v>-1.8059855521156516E-3</v>
      </c>
      <c r="C167" s="3">
        <v>45756.666666666664</v>
      </c>
      <c r="D167">
        <v>6.0954167155081E-3</v>
      </c>
      <c r="E167" s="7" t="s">
        <v>109</v>
      </c>
      <c r="F167">
        <v>-5.7883996546581676E-3</v>
      </c>
    </row>
    <row r="168" spans="1:6" x14ac:dyDescent="0.3">
      <c r="A168" s="3">
        <v>45697.666666666664</v>
      </c>
      <c r="B168">
        <v>-1.0424743689153044E-2</v>
      </c>
      <c r="C168" s="3">
        <v>45786.666666666664</v>
      </c>
      <c r="D168">
        <v>-2.7030175929162219E-2</v>
      </c>
      <c r="E168" s="7">
        <v>45697.666666666664</v>
      </c>
      <c r="F168">
        <v>-3.0985415145355012E-3</v>
      </c>
    </row>
    <row r="169" spans="1:6" x14ac:dyDescent="0.3">
      <c r="A169" s="3">
        <v>45725.666666666664</v>
      </c>
      <c r="B169">
        <v>3.8089848511231067E-2</v>
      </c>
      <c r="C169" s="3">
        <v>45878.666666666664</v>
      </c>
      <c r="D169">
        <v>7.7236259130642557E-3</v>
      </c>
      <c r="E169" s="7">
        <v>45725.666666666664</v>
      </c>
      <c r="F169">
        <v>4.5533734558128407E-4</v>
      </c>
    </row>
    <row r="170" spans="1:6" x14ac:dyDescent="0.3">
      <c r="A170" s="3">
        <v>45756.666666666664</v>
      </c>
      <c r="B170">
        <v>5.4933534616513702E-3</v>
      </c>
      <c r="C170" s="3">
        <v>45909.666666666664</v>
      </c>
      <c r="D170">
        <v>1.4556473174499368E-2</v>
      </c>
      <c r="E170" s="7">
        <v>45756.666666666664</v>
      </c>
      <c r="F170">
        <v>5.184525576333243E-3</v>
      </c>
    </row>
    <row r="171" spans="1:6" x14ac:dyDescent="0.3">
      <c r="A171" s="3">
        <v>45786.666666666664</v>
      </c>
      <c r="B171">
        <v>-3.7534406539329137E-4</v>
      </c>
      <c r="C171" s="3">
        <v>45939.666666666664</v>
      </c>
      <c r="D171">
        <v>3.8475052705551779E-2</v>
      </c>
      <c r="E171" s="7">
        <v>45786.666666666664</v>
      </c>
      <c r="F171">
        <v>-2.5533003917554239E-2</v>
      </c>
    </row>
    <row r="172" spans="1:6" x14ac:dyDescent="0.3">
      <c r="A172" s="3">
        <v>45878.666666666664</v>
      </c>
      <c r="B172">
        <v>-7.5514205849222006E-3</v>
      </c>
      <c r="C172" s="3">
        <v>45970.666666666664</v>
      </c>
      <c r="D172">
        <v>-9.0227259910914681E-4</v>
      </c>
      <c r="E172" s="7">
        <v>45878.666666666664</v>
      </c>
      <c r="F172">
        <v>6.4646464646464421E-3</v>
      </c>
    </row>
    <row r="173" spans="1:6" x14ac:dyDescent="0.3">
      <c r="A173" s="3">
        <v>45909.666666666664</v>
      </c>
      <c r="B173">
        <v>-1.4839414831007236E-2</v>
      </c>
      <c r="C173" s="3">
        <v>46000.666666666664</v>
      </c>
      <c r="D173">
        <v>3.6687926849918481E-3</v>
      </c>
      <c r="E173" s="7">
        <v>45909.666666666664</v>
      </c>
      <c r="F173">
        <v>4.2151746286639175E-4</v>
      </c>
    </row>
    <row r="174" spans="1:6" x14ac:dyDescent="0.3">
      <c r="A174" s="3">
        <v>45939.666666666664</v>
      </c>
      <c r="B174">
        <v>-3.2259441007040764E-2</v>
      </c>
      <c r="C174" t="s">
        <v>111</v>
      </c>
      <c r="D174">
        <v>-3.9365650657964898E-4</v>
      </c>
      <c r="E174" s="7">
        <v>45939.666666666664</v>
      </c>
      <c r="F174">
        <v>3.9325053670672327E-3</v>
      </c>
    </row>
    <row r="175" spans="1:6" x14ac:dyDescent="0.3">
      <c r="A175" s="3">
        <v>45970.666666666664</v>
      </c>
      <c r="B175">
        <v>1.4286344195070371E-2</v>
      </c>
      <c r="C175" t="s">
        <v>112</v>
      </c>
      <c r="D175">
        <v>-1.6146272855133641E-2</v>
      </c>
      <c r="E175" s="7">
        <v>45970.666666666664</v>
      </c>
      <c r="F175">
        <v>1.2790535004096695E-3</v>
      </c>
    </row>
    <row r="176" spans="1:6" x14ac:dyDescent="0.3">
      <c r="A176" s="3">
        <v>46000.666666666664</v>
      </c>
      <c r="B176">
        <v>1.7562926574794559E-2</v>
      </c>
      <c r="C176" t="s">
        <v>113</v>
      </c>
      <c r="D176">
        <v>-2.6246569075937805E-2</v>
      </c>
      <c r="E176" s="7">
        <v>46000.666666666664</v>
      </c>
      <c r="F176">
        <v>1.7744156803257392E-2</v>
      </c>
    </row>
    <row r="177" spans="1:6" x14ac:dyDescent="0.3">
      <c r="A177" t="s">
        <v>111</v>
      </c>
      <c r="B177">
        <v>1.1235955056179756E-2</v>
      </c>
      <c r="C177" t="s">
        <v>114</v>
      </c>
      <c r="D177">
        <v>3.4940395795407933E-2</v>
      </c>
      <c r="E177" s="7" t="s">
        <v>111</v>
      </c>
      <c r="F177">
        <v>1.0707981957246591E-2</v>
      </c>
    </row>
    <row r="178" spans="1:6" x14ac:dyDescent="0.3">
      <c r="A178" t="s">
        <v>112</v>
      </c>
      <c r="B178">
        <v>6.1258977608788217E-3</v>
      </c>
      <c r="C178" t="s">
        <v>115</v>
      </c>
      <c r="D178">
        <v>2.4398547435314252E-3</v>
      </c>
      <c r="E178" s="7" t="s">
        <v>112</v>
      </c>
      <c r="F178">
        <v>-1.2263272275690766E-2</v>
      </c>
    </row>
    <row r="179" spans="1:6" x14ac:dyDescent="0.3">
      <c r="A179" t="s">
        <v>113</v>
      </c>
      <c r="B179">
        <v>3.5271887465882987E-3</v>
      </c>
      <c r="C179" t="s">
        <v>116</v>
      </c>
      <c r="D179">
        <v>3.9282277692873867E-2</v>
      </c>
      <c r="E179" s="7" t="s">
        <v>113</v>
      </c>
      <c r="F179">
        <v>1.925192519251849E-3</v>
      </c>
    </row>
    <row r="180" spans="1:6" x14ac:dyDescent="0.3">
      <c r="A180" t="s">
        <v>114</v>
      </c>
      <c r="B180">
        <v>-4.6445457968953248E-3</v>
      </c>
      <c r="C180" t="s">
        <v>117</v>
      </c>
      <c r="D180">
        <v>-2.8211971025543306E-2</v>
      </c>
      <c r="E180" s="7" t="s">
        <v>114</v>
      </c>
      <c r="F180">
        <v>-3.0783106544841248E-3</v>
      </c>
    </row>
    <row r="181" spans="1:6" x14ac:dyDescent="0.3">
      <c r="A181" t="s">
        <v>115</v>
      </c>
      <c r="B181">
        <v>3.2032957793845657E-2</v>
      </c>
      <c r="C181" t="s">
        <v>118</v>
      </c>
      <c r="D181">
        <v>-8.1824805245755087E-3</v>
      </c>
      <c r="E181" s="7" t="s">
        <v>115</v>
      </c>
      <c r="F181">
        <v>1.8644901170223153E-2</v>
      </c>
    </row>
    <row r="182" spans="1:6" x14ac:dyDescent="0.3">
      <c r="A182" t="s">
        <v>116</v>
      </c>
      <c r="B182">
        <v>4.3095723014256557E-2</v>
      </c>
      <c r="C182" t="s">
        <v>119</v>
      </c>
      <c r="D182">
        <v>4.0684861840989935E-3</v>
      </c>
      <c r="E182" s="7" t="s">
        <v>116</v>
      </c>
      <c r="F182">
        <v>-6.719054698511198E-3</v>
      </c>
    </row>
    <row r="183" spans="1:6" x14ac:dyDescent="0.3">
      <c r="A183" t="s">
        <v>117</v>
      </c>
      <c r="B183">
        <v>-6.4432989690720761E-3</v>
      </c>
      <c r="C183" t="s">
        <v>120</v>
      </c>
      <c r="D183">
        <v>2.8138893578704485E-3</v>
      </c>
      <c r="E183" s="7" t="s">
        <v>117</v>
      </c>
      <c r="F183">
        <v>-1.0146758674312424E-2</v>
      </c>
    </row>
    <row r="184" spans="1:6" x14ac:dyDescent="0.3">
      <c r="A184" t="s">
        <v>118</v>
      </c>
      <c r="B184">
        <v>-8.332350744802125E-3</v>
      </c>
      <c r="C184" t="s">
        <v>121</v>
      </c>
      <c r="D184">
        <v>2.0539873169089156E-2</v>
      </c>
      <c r="E184" s="7" t="s">
        <v>118</v>
      </c>
      <c r="F184">
        <v>1.8066492547571019E-3</v>
      </c>
    </row>
    <row r="185" spans="1:6" x14ac:dyDescent="0.3">
      <c r="A185" t="s">
        <v>119</v>
      </c>
      <c r="B185">
        <v>1.8073005429828395E-2</v>
      </c>
      <c r="C185" t="s">
        <v>122</v>
      </c>
      <c r="D185">
        <v>2.6010448171570076E-2</v>
      </c>
      <c r="E185" s="7" t="s">
        <v>119</v>
      </c>
      <c r="F185">
        <v>-6.1158482799176803E-3</v>
      </c>
    </row>
    <row r="186" spans="1:6" x14ac:dyDescent="0.3">
      <c r="A186" t="s">
        <v>120</v>
      </c>
      <c r="B186">
        <v>-5.4891579398139E-3</v>
      </c>
      <c r="C186" s="3">
        <v>45667.666666666664</v>
      </c>
      <c r="D186">
        <v>3.537356629863847E-3</v>
      </c>
      <c r="E186" s="7" t="s">
        <v>120</v>
      </c>
      <c r="F186">
        <v>8.7371555923712735E-3</v>
      </c>
    </row>
    <row r="187" spans="1:6" x14ac:dyDescent="0.3">
      <c r="A187" t="s">
        <v>121</v>
      </c>
      <c r="B187">
        <v>-4.0319423784545569E-3</v>
      </c>
      <c r="C187" s="3">
        <v>45698.666666666664</v>
      </c>
      <c r="D187">
        <v>8.8122196111940672E-3</v>
      </c>
      <c r="E187" s="7" t="s">
        <v>121</v>
      </c>
      <c r="F187">
        <v>6.1392875298166881E-3</v>
      </c>
    </row>
    <row r="188" spans="1:6" x14ac:dyDescent="0.3">
      <c r="A188" t="s">
        <v>122</v>
      </c>
      <c r="B188">
        <v>7.8607082498128613E-4</v>
      </c>
      <c r="C188" s="3">
        <v>45726.666666666664</v>
      </c>
      <c r="D188">
        <v>-6.7234898618242465E-3</v>
      </c>
      <c r="E188" s="7" t="s">
        <v>122</v>
      </c>
      <c r="F188">
        <v>6.5099106101827097E-3</v>
      </c>
    </row>
    <row r="189" spans="1:6" x14ac:dyDescent="0.3">
      <c r="A189" s="3">
        <v>45667.666666666664</v>
      </c>
      <c r="B189">
        <v>3.2203589522051337E-3</v>
      </c>
      <c r="C189" s="3">
        <v>45818.666666666664</v>
      </c>
      <c r="D189">
        <v>-1.1086238140923209E-2</v>
      </c>
      <c r="E189" s="7">
        <v>45667.666666666664</v>
      </c>
      <c r="F189">
        <v>3.3980113910608953E-3</v>
      </c>
    </row>
    <row r="190" spans="1:6" x14ac:dyDescent="0.3">
      <c r="A190" s="3">
        <v>45698.666666666664</v>
      </c>
      <c r="B190">
        <v>6.5766294773928636E-3</v>
      </c>
      <c r="C190" s="3">
        <v>45848.666666666664</v>
      </c>
      <c r="D190">
        <v>-2.6948366928964108E-3</v>
      </c>
      <c r="E190" s="7">
        <v>45698.666666666664</v>
      </c>
      <c r="F190">
        <v>-7.6388755267361164E-3</v>
      </c>
    </row>
    <row r="191" spans="1:6" x14ac:dyDescent="0.3">
      <c r="A191" s="3">
        <v>45726.666666666664</v>
      </c>
      <c r="B191">
        <v>3.461284175319824E-3</v>
      </c>
      <c r="C191" s="3">
        <v>45879.666666666664</v>
      </c>
      <c r="D191">
        <v>2.1995244271508979E-2</v>
      </c>
      <c r="E191" s="7">
        <v>45726.666666666664</v>
      </c>
      <c r="F191">
        <v>3.1217280024818973E-3</v>
      </c>
    </row>
    <row r="192" spans="1:6" x14ac:dyDescent="0.3">
      <c r="A192" s="3">
        <v>45818.666666666664</v>
      </c>
      <c r="B192">
        <v>-5.1546391752576703E-3</v>
      </c>
      <c r="C192" s="3">
        <v>45910.666666666664</v>
      </c>
      <c r="D192">
        <v>1.829622970757749E-2</v>
      </c>
      <c r="E192" s="7">
        <v>45818.666666666664</v>
      </c>
      <c r="F192">
        <v>2.1687445636416405E-2</v>
      </c>
    </row>
    <row r="193" spans="1:6" x14ac:dyDescent="0.3">
      <c r="A193" s="3">
        <v>45848.666666666664</v>
      </c>
      <c r="B193">
        <v>-8.1810744477766781E-4</v>
      </c>
      <c r="C193" s="3">
        <v>45940.666666666664</v>
      </c>
      <c r="D193">
        <v>-4.8865347665783855E-2</v>
      </c>
      <c r="E193" s="7">
        <v>45848.666666666664</v>
      </c>
      <c r="F193">
        <v>-8.6838072535331771E-3</v>
      </c>
    </row>
    <row r="194" spans="1:6" x14ac:dyDescent="0.3">
      <c r="A194" s="3">
        <v>45879.666666666664</v>
      </c>
      <c r="B194">
        <v>6.1603243917653771E-3</v>
      </c>
      <c r="C194" t="s">
        <v>123</v>
      </c>
      <c r="D194">
        <v>2.8172089975977269E-2</v>
      </c>
      <c r="E194" s="7">
        <v>45879.666666666664</v>
      </c>
      <c r="F194">
        <v>1.6603687163632285E-3</v>
      </c>
    </row>
    <row r="195" spans="1:6" x14ac:dyDescent="0.3">
      <c r="A195" s="3">
        <v>45910.666666666664</v>
      </c>
      <c r="B195">
        <v>-1.5577772611020732E-2</v>
      </c>
      <c r="C195" t="s">
        <v>124</v>
      </c>
      <c r="D195">
        <v>-4.4020815632965123E-2</v>
      </c>
      <c r="E195" s="7">
        <v>45910.666666666664</v>
      </c>
      <c r="F195">
        <v>-4.6680003810613425E-3</v>
      </c>
    </row>
    <row r="196" spans="1:6" x14ac:dyDescent="0.3">
      <c r="A196" s="3">
        <v>45940.666666666664</v>
      </c>
      <c r="B196">
        <v>-3.4522122500393569E-2</v>
      </c>
      <c r="C196" t="s">
        <v>125</v>
      </c>
      <c r="D196">
        <v>-1.1109259567849172E-3</v>
      </c>
      <c r="E196" s="7">
        <v>45940.666666666664</v>
      </c>
      <c r="F196">
        <v>-2.1898928024502294E-2</v>
      </c>
    </row>
    <row r="197" spans="1:6" x14ac:dyDescent="0.3">
      <c r="A197" t="s">
        <v>123</v>
      </c>
      <c r="B197">
        <v>9.7443633546703077E-3</v>
      </c>
      <c r="C197" t="s">
        <v>126</v>
      </c>
      <c r="D197">
        <v>1.1010398709892618E-2</v>
      </c>
      <c r="E197" s="7" t="s">
        <v>123</v>
      </c>
      <c r="F197">
        <v>6.0474401127289324E-3</v>
      </c>
    </row>
    <row r="198" spans="1:6" x14ac:dyDescent="0.3">
      <c r="A198" t="s">
        <v>124</v>
      </c>
      <c r="B198">
        <v>4.4415731244453545E-4</v>
      </c>
      <c r="C198" t="s">
        <v>127</v>
      </c>
      <c r="D198">
        <v>7.7553489907045631E-3</v>
      </c>
      <c r="E198" s="7" t="s">
        <v>124</v>
      </c>
      <c r="F198">
        <v>-9.3376130726564453E-4</v>
      </c>
    </row>
    <row r="199" spans="1:6" x14ac:dyDescent="0.3">
      <c r="A199" t="s">
        <v>125</v>
      </c>
      <c r="B199">
        <v>6.336521774226069E-3</v>
      </c>
      <c r="C199" t="s">
        <v>128</v>
      </c>
      <c r="D199">
        <v>-3.1655932758433169E-3</v>
      </c>
      <c r="E199" s="7" t="s">
        <v>125</v>
      </c>
      <c r="F199">
        <v>-2.7260159277235825E-4</v>
      </c>
    </row>
    <row r="200" spans="1:6" x14ac:dyDescent="0.3">
      <c r="A200" t="s">
        <v>126</v>
      </c>
      <c r="B200">
        <v>-7.5800112296463256E-3</v>
      </c>
      <c r="C200" t="s">
        <v>129</v>
      </c>
      <c r="D200">
        <v>-8.1033727551466806E-3</v>
      </c>
      <c r="E200" s="7" t="s">
        <v>126</v>
      </c>
      <c r="F200">
        <v>-3.5447870206258623E-3</v>
      </c>
    </row>
    <row r="201" spans="1:6" x14ac:dyDescent="0.3">
      <c r="A201" t="s">
        <v>127</v>
      </c>
      <c r="B201">
        <v>1.9559506971105287E-2</v>
      </c>
      <c r="C201" t="s">
        <v>130</v>
      </c>
      <c r="D201">
        <v>-4.8575844557297168E-3</v>
      </c>
      <c r="E201" s="7" t="s">
        <v>127</v>
      </c>
      <c r="F201">
        <v>3.8505893160806614E-3</v>
      </c>
    </row>
    <row r="202" spans="1:6" x14ac:dyDescent="0.3">
      <c r="A202" t="s">
        <v>128</v>
      </c>
      <c r="B202">
        <v>3.943874113123793E-2</v>
      </c>
      <c r="C202" t="s">
        <v>131</v>
      </c>
      <c r="D202">
        <v>1.0428222764588393E-2</v>
      </c>
      <c r="E202" s="7" t="s">
        <v>128</v>
      </c>
      <c r="F202">
        <v>6.2502433895399402E-3</v>
      </c>
    </row>
    <row r="203" spans="1:6" x14ac:dyDescent="0.3">
      <c r="A203" t="s">
        <v>129</v>
      </c>
      <c r="B203">
        <v>2.0210494203781754E-3</v>
      </c>
      <c r="C203" t="s">
        <v>132</v>
      </c>
      <c r="D203">
        <v>2.2507685551163781E-2</v>
      </c>
      <c r="E203" s="7" t="s">
        <v>129</v>
      </c>
      <c r="F203">
        <v>1.6834691073743776E-3</v>
      </c>
    </row>
    <row r="204" spans="1:6" x14ac:dyDescent="0.3">
      <c r="A204" t="s">
        <v>130</v>
      </c>
      <c r="B204">
        <v>-1.6440232903299438E-2</v>
      </c>
      <c r="C204" t="s">
        <v>133</v>
      </c>
      <c r="D204">
        <v>2.8079029313862441E-2</v>
      </c>
      <c r="E204" s="7" t="s">
        <v>130</v>
      </c>
      <c r="F204">
        <v>5.5634972762044505E-3</v>
      </c>
    </row>
    <row r="205" spans="1:6" x14ac:dyDescent="0.3">
      <c r="A205" t="s">
        <v>131</v>
      </c>
      <c r="B205">
        <v>4.3722189978719116E-3</v>
      </c>
      <c r="C205" t="s">
        <v>134</v>
      </c>
      <c r="D205">
        <v>4.9819833933886844E-2</v>
      </c>
      <c r="E205" s="7" t="s">
        <v>131</v>
      </c>
      <c r="F205">
        <v>3.8421639067087623E-5</v>
      </c>
    </row>
    <row r="206" spans="1:6" x14ac:dyDescent="0.3">
      <c r="A206" t="s">
        <v>132</v>
      </c>
      <c r="B206">
        <v>1.2481701209646388E-2</v>
      </c>
      <c r="C206" t="s">
        <v>135</v>
      </c>
      <c r="D206">
        <v>2.9896035417599318E-2</v>
      </c>
      <c r="E206" s="7" t="s">
        <v>132</v>
      </c>
      <c r="F206">
        <v>5.8590748424774634E-3</v>
      </c>
    </row>
    <row r="207" spans="1:6" x14ac:dyDescent="0.3">
      <c r="A207" t="s">
        <v>133</v>
      </c>
      <c r="B207">
        <v>2.2791263982954148E-2</v>
      </c>
      <c r="C207" t="s">
        <v>136</v>
      </c>
      <c r="D207">
        <v>-2.0044435857805284E-2</v>
      </c>
      <c r="E207" s="7" t="s">
        <v>133</v>
      </c>
      <c r="F207">
        <v>1.5106663356314753E-2</v>
      </c>
    </row>
    <row r="208" spans="1:6" x14ac:dyDescent="0.3">
      <c r="A208" t="s">
        <v>134</v>
      </c>
      <c r="B208">
        <v>7.0681894274765718E-4</v>
      </c>
      <c r="C208" t="s">
        <v>137</v>
      </c>
      <c r="D208">
        <v>-1.9715116565625574E-3</v>
      </c>
      <c r="E208" s="7" t="s">
        <v>134</v>
      </c>
      <c r="F208">
        <v>1.9848735701384838E-2</v>
      </c>
    </row>
    <row r="209" spans="1:6" x14ac:dyDescent="0.3">
      <c r="A209" t="s">
        <v>135</v>
      </c>
      <c r="B209">
        <v>2.6022304832713332E-3</v>
      </c>
      <c r="C209" s="3">
        <v>45727.666666666664</v>
      </c>
      <c r="D209">
        <v>2.1680082967060033E-2</v>
      </c>
      <c r="E209" s="7" t="s">
        <v>135</v>
      </c>
      <c r="F209">
        <v>-9.5928570110888898E-4</v>
      </c>
    </row>
    <row r="210" spans="1:6" x14ac:dyDescent="0.3">
      <c r="A210" t="s">
        <v>136</v>
      </c>
      <c r="B210">
        <v>6.3032999629217233E-3</v>
      </c>
      <c r="C210" s="3">
        <v>45758.666666666664</v>
      </c>
      <c r="D210">
        <v>-3.9588167053364258E-2</v>
      </c>
      <c r="E210" s="7" t="s">
        <v>136</v>
      </c>
      <c r="F210">
        <v>-2.915704921059914E-2</v>
      </c>
    </row>
    <row r="211" spans="1:6" x14ac:dyDescent="0.3">
      <c r="A211" t="s">
        <v>137</v>
      </c>
      <c r="B211">
        <v>-3.7951363301399147E-3</v>
      </c>
      <c r="C211" s="3">
        <v>45788.666666666664</v>
      </c>
      <c r="D211">
        <v>-1.7514721425335899E-2</v>
      </c>
      <c r="E211" s="7" t="s">
        <v>137</v>
      </c>
      <c r="F211">
        <v>-1.5120967741935571E-2</v>
      </c>
    </row>
    <row r="212" spans="1:6" x14ac:dyDescent="0.3">
      <c r="A212" s="3">
        <v>45727.666666666664</v>
      </c>
      <c r="B212">
        <v>-4.8821984687650007E-3</v>
      </c>
      <c r="C212" s="3">
        <v>45819.666666666664</v>
      </c>
      <c r="D212">
        <v>-3.6524768198350467E-2</v>
      </c>
      <c r="E212" s="7">
        <v>45727.666666666664</v>
      </c>
      <c r="F212">
        <v>-1.5063440258009169E-3</v>
      </c>
    </row>
    <row r="213" spans="1:6" x14ac:dyDescent="0.3">
      <c r="A213" s="3">
        <v>45758.666666666664</v>
      </c>
      <c r="B213">
        <v>3.6796134547482217E-3</v>
      </c>
      <c r="C213" s="3">
        <v>45849.666666666664</v>
      </c>
      <c r="D213">
        <v>3.7218205019137166E-4</v>
      </c>
      <c r="E213" s="7">
        <v>45758.666666666664</v>
      </c>
      <c r="F213">
        <v>-5.2221341121403628E-3</v>
      </c>
    </row>
    <row r="214" spans="1:6" x14ac:dyDescent="0.3">
      <c r="A214" s="3">
        <v>45788.666666666664</v>
      </c>
      <c r="B214">
        <v>3.7031550881338278E-4</v>
      </c>
      <c r="C214" s="3">
        <v>45941.666666666664</v>
      </c>
      <c r="D214">
        <v>5.7932500664363569E-2</v>
      </c>
      <c r="E214" s="7">
        <v>45788.666666666664</v>
      </c>
      <c r="F214">
        <v>-1.3940466237629567E-2</v>
      </c>
    </row>
    <row r="215" spans="1:6" x14ac:dyDescent="0.3">
      <c r="A215" s="3">
        <v>45819.666666666664</v>
      </c>
      <c r="B215">
        <v>-1.3696601762049477E-3</v>
      </c>
      <c r="C215" s="3">
        <v>45972.666666666664</v>
      </c>
      <c r="D215">
        <v>-2.959055513690035E-2</v>
      </c>
      <c r="E215" s="7">
        <v>45819.666666666664</v>
      </c>
      <c r="F215">
        <v>-1.9835949207350739E-2</v>
      </c>
    </row>
    <row r="216" spans="1:6" x14ac:dyDescent="0.3">
      <c r="A216" s="3">
        <v>45849.666666666664</v>
      </c>
      <c r="B216">
        <v>-4.8189198205877398E-3</v>
      </c>
      <c r="C216" s="3">
        <v>46002.666666666664</v>
      </c>
      <c r="D216">
        <v>3.313315386208401E-3</v>
      </c>
      <c r="E216" s="7">
        <v>45849.666666666664</v>
      </c>
      <c r="F216">
        <v>-5.6326694830020028E-4</v>
      </c>
    </row>
    <row r="217" spans="1:6" x14ac:dyDescent="0.3">
      <c r="A217" s="3">
        <v>45941.666666666664</v>
      </c>
      <c r="B217">
        <v>3.5758185272096676E-3</v>
      </c>
      <c r="C217" t="s">
        <v>138</v>
      </c>
      <c r="D217">
        <v>-3.5810113519091837E-2</v>
      </c>
      <c r="E217" s="7">
        <v>45941.666666666664</v>
      </c>
      <c r="F217">
        <v>1.8477517008171986E-2</v>
      </c>
    </row>
    <row r="218" spans="1:6" x14ac:dyDescent="0.3">
      <c r="A218" s="3">
        <v>45972.666666666664</v>
      </c>
      <c r="B218">
        <v>2.1601158000222668E-2</v>
      </c>
      <c r="C218" t="s">
        <v>139</v>
      </c>
      <c r="D218">
        <v>1.7713796425130972E-2</v>
      </c>
      <c r="E218" s="7">
        <v>45972.666666666664</v>
      </c>
      <c r="F218">
        <v>5.2964426877470487E-3</v>
      </c>
    </row>
    <row r="219" spans="1:6" x14ac:dyDescent="0.3">
      <c r="A219" s="3">
        <v>46002.666666666664</v>
      </c>
      <c r="B219">
        <v>-6.4668483197092563E-3</v>
      </c>
      <c r="C219" t="s">
        <v>140</v>
      </c>
      <c r="D219">
        <v>-1.87726770784035E-2</v>
      </c>
      <c r="E219" s="7">
        <v>46002.666666666664</v>
      </c>
      <c r="F219">
        <v>4.8360462373200821E-3</v>
      </c>
    </row>
    <row r="220" spans="1:6" x14ac:dyDescent="0.3">
      <c r="A220" t="s">
        <v>138</v>
      </c>
      <c r="B220">
        <v>-1.9014882802502601E-3</v>
      </c>
      <c r="C220" t="s">
        <v>141</v>
      </c>
      <c r="D220">
        <v>-2.8081457663451131E-2</v>
      </c>
      <c r="E220" s="7" t="s">
        <v>138</v>
      </c>
      <c r="F220">
        <v>-1.535782760104857E-2</v>
      </c>
    </row>
    <row r="221" spans="1:6" x14ac:dyDescent="0.3">
      <c r="A221" t="s">
        <v>139</v>
      </c>
      <c r="B221">
        <v>-1.9783843194722977E-3</v>
      </c>
      <c r="C221" t="s">
        <v>142</v>
      </c>
      <c r="D221">
        <v>2.8451698279664733E-2</v>
      </c>
      <c r="E221" s="7" t="s">
        <v>139</v>
      </c>
      <c r="F221">
        <v>1.3689920324266299E-2</v>
      </c>
    </row>
    <row r="222" spans="1:6" x14ac:dyDescent="0.3">
      <c r="A222" t="s">
        <v>140</v>
      </c>
      <c r="B222">
        <v>-1.8171139091810305E-2</v>
      </c>
      <c r="C222" t="s">
        <v>143</v>
      </c>
      <c r="D222">
        <v>-3.1524769461720052E-2</v>
      </c>
      <c r="E222" s="7" t="s">
        <v>140</v>
      </c>
      <c r="F222">
        <v>-5.2726488690266133E-3</v>
      </c>
    </row>
    <row r="223" spans="1:6" x14ac:dyDescent="0.3">
      <c r="A223" t="s">
        <v>141</v>
      </c>
      <c r="B223">
        <v>-7.477753682786888E-5</v>
      </c>
      <c r="C223" t="s">
        <v>144</v>
      </c>
      <c r="D223">
        <v>-9.7431355181576123E-3</v>
      </c>
      <c r="E223" s="7" t="s">
        <v>141</v>
      </c>
      <c r="F223">
        <v>-2.6995605824745292E-2</v>
      </c>
    </row>
    <row r="224" spans="1:6" x14ac:dyDescent="0.3">
      <c r="A224" t="s">
        <v>142</v>
      </c>
      <c r="B224">
        <v>4.1878552198624163E-3</v>
      </c>
      <c r="C224" t="s">
        <v>145</v>
      </c>
      <c r="D224">
        <v>2.0516547406082379E-2</v>
      </c>
      <c r="E224" s="7" t="s">
        <v>142</v>
      </c>
      <c r="F224">
        <v>-1.3507766459426104E-2</v>
      </c>
    </row>
    <row r="225" spans="1:6" x14ac:dyDescent="0.3">
      <c r="A225" t="s">
        <v>143</v>
      </c>
      <c r="B225">
        <v>-8.6014298480786497E-3</v>
      </c>
      <c r="C225" t="s">
        <v>146</v>
      </c>
      <c r="D225">
        <v>-2.5910709394686485E-2</v>
      </c>
      <c r="E225" s="7" t="s">
        <v>143</v>
      </c>
      <c r="F225">
        <v>-1.7839546723599928E-2</v>
      </c>
    </row>
    <row r="226" spans="1:6" x14ac:dyDescent="0.3">
      <c r="A226" t="s">
        <v>144</v>
      </c>
      <c r="B226">
        <v>1.9680751173708953E-2</v>
      </c>
      <c r="C226" t="s">
        <v>147</v>
      </c>
      <c r="D226">
        <v>1.3721741086491946E-2</v>
      </c>
      <c r="E226" s="7" t="s">
        <v>144</v>
      </c>
      <c r="F226">
        <v>-1.3188972263445023E-2</v>
      </c>
    </row>
    <row r="227" spans="1:6" x14ac:dyDescent="0.3">
      <c r="A227" t="s">
        <v>145</v>
      </c>
      <c r="B227">
        <v>1.6317359755423796E-2</v>
      </c>
      <c r="C227" t="s">
        <v>148</v>
      </c>
      <c r="D227">
        <v>-1.8084988350160831E-2</v>
      </c>
      <c r="E227" s="7" t="s">
        <v>145</v>
      </c>
      <c r="F227">
        <v>3.9820384647970761E-3</v>
      </c>
    </row>
    <row r="228" spans="1:6" x14ac:dyDescent="0.3">
      <c r="A228" t="s">
        <v>146</v>
      </c>
      <c r="B228">
        <v>3.8054508553204236E-3</v>
      </c>
      <c r="C228" s="3">
        <v>45669.666666666664</v>
      </c>
      <c r="D228">
        <v>1.6497175141242867E-2</v>
      </c>
      <c r="E228" s="7" t="s">
        <v>146</v>
      </c>
      <c r="F228">
        <v>6.3080168776371501E-3</v>
      </c>
    </row>
    <row r="229" spans="1:6" x14ac:dyDescent="0.3">
      <c r="A229" t="s">
        <v>147</v>
      </c>
      <c r="B229">
        <v>2.094089612593364E-3</v>
      </c>
      <c r="C229" s="3">
        <v>45700.666666666664</v>
      </c>
      <c r="D229">
        <v>8.5593597154291941E-3</v>
      </c>
      <c r="E229" s="7" t="s">
        <v>147</v>
      </c>
      <c r="F229">
        <v>1.7841044885636995E-2</v>
      </c>
    </row>
    <row r="230" spans="1:6" x14ac:dyDescent="0.3">
      <c r="A230" t="s">
        <v>148</v>
      </c>
      <c r="B230">
        <v>4.6838407494145607E-3</v>
      </c>
      <c r="C230" s="3">
        <v>45728.666666666664</v>
      </c>
      <c r="D230">
        <v>-1.0305301443844398E-2</v>
      </c>
      <c r="E230" s="7" t="s">
        <v>148</v>
      </c>
      <c r="F230">
        <v>1.3408856848609662E-2</v>
      </c>
    </row>
    <row r="231" spans="1:6" x14ac:dyDescent="0.3">
      <c r="A231" s="3">
        <v>45669.666666666664</v>
      </c>
      <c r="B231">
        <v>1.5241169087322932E-2</v>
      </c>
      <c r="C231" s="3">
        <v>45759.666666666664</v>
      </c>
      <c r="D231">
        <v>2.1103624923436672E-2</v>
      </c>
      <c r="E231" s="7">
        <v>45669.666666666664</v>
      </c>
      <c r="F231">
        <v>-1.0711164407227459E-2</v>
      </c>
    </row>
    <row r="232" spans="1:6" x14ac:dyDescent="0.3">
      <c r="A232" s="3">
        <v>45700.666666666664</v>
      </c>
      <c r="B232">
        <v>1.0914871070293094E-2</v>
      </c>
      <c r="C232" s="3">
        <v>45789.666666666664</v>
      </c>
      <c r="D232">
        <v>-5.2895626567782683E-3</v>
      </c>
      <c r="E232" s="7">
        <v>45700.666666666664</v>
      </c>
      <c r="F232">
        <v>6.6976209064387371E-3</v>
      </c>
    </row>
    <row r="233" spans="1:6" x14ac:dyDescent="0.3">
      <c r="A233" s="3">
        <v>45728.666666666664</v>
      </c>
      <c r="B233">
        <v>-7.1281316607848645E-3</v>
      </c>
      <c r="C233" s="3">
        <v>45881.666666666664</v>
      </c>
      <c r="D233">
        <v>1.7213968532427033E-2</v>
      </c>
      <c r="E233" s="7">
        <v>45728.666666666664</v>
      </c>
      <c r="F233">
        <v>-2.5040816326530574E-2</v>
      </c>
    </row>
    <row r="234" spans="1:6" x14ac:dyDescent="0.3">
      <c r="A234" s="3">
        <v>45759.666666666664</v>
      </c>
      <c r="B234">
        <v>-1.2141474573288716E-2</v>
      </c>
      <c r="C234" s="3">
        <v>45912.666666666664</v>
      </c>
      <c r="D234">
        <v>-3.1258420910806385E-3</v>
      </c>
      <c r="E234" s="7">
        <v>45759.666666666664</v>
      </c>
      <c r="F234">
        <v>6.5099533209133963E-3</v>
      </c>
    </row>
    <row r="235" spans="1:6" x14ac:dyDescent="0.3">
      <c r="A235" s="3">
        <v>45789.666666666664</v>
      </c>
      <c r="B235">
        <v>-6.8400427502672461E-3</v>
      </c>
      <c r="C235" s="3">
        <v>45942.666666666664</v>
      </c>
      <c r="D235">
        <v>-6.4334756987619495E-3</v>
      </c>
      <c r="E235" s="7">
        <v>45789.666666666664</v>
      </c>
      <c r="F235">
        <v>4.8248897762250441E-3</v>
      </c>
    </row>
    <row r="236" spans="1:6" x14ac:dyDescent="0.3">
      <c r="A236" s="3">
        <v>45881.666666666664</v>
      </c>
      <c r="B236">
        <v>-3.1924815266517917E-3</v>
      </c>
      <c r="C236" s="3">
        <v>45973.666666666664</v>
      </c>
      <c r="D236">
        <v>-1.5507672216780902E-2</v>
      </c>
      <c r="E236" s="7">
        <v>45881.666666666664</v>
      </c>
      <c r="F236">
        <v>1.6267902972100248E-2</v>
      </c>
    </row>
    <row r="237" spans="1:6" x14ac:dyDescent="0.3">
      <c r="A237" s="3">
        <v>45912.666666666664</v>
      </c>
      <c r="B237">
        <v>-2.5549677930115497E-3</v>
      </c>
      <c r="C237" s="3">
        <v>46003.666666666664</v>
      </c>
      <c r="D237">
        <v>-3.2664566406897674E-2</v>
      </c>
      <c r="E237" s="7">
        <v>45912.666666666664</v>
      </c>
      <c r="F237">
        <v>2.0365769215103255E-3</v>
      </c>
    </row>
    <row r="238" spans="1:6" x14ac:dyDescent="0.3">
      <c r="A238" s="3">
        <v>45942.666666666664</v>
      </c>
      <c r="B238">
        <v>5.7724222526876609E-3</v>
      </c>
      <c r="C238" t="s">
        <v>149</v>
      </c>
      <c r="D238">
        <v>7.256313564163991E-3</v>
      </c>
      <c r="E238" s="7">
        <v>45942.666666666664</v>
      </c>
      <c r="F238">
        <v>-2.7356611519856876E-2</v>
      </c>
    </row>
    <row r="239" spans="1:6" x14ac:dyDescent="0.3">
      <c r="A239" s="3">
        <v>45973.666666666664</v>
      </c>
      <c r="B239">
        <v>-2.6902934213358207E-3</v>
      </c>
      <c r="C239" t="s">
        <v>150</v>
      </c>
      <c r="D239">
        <v>8.1116342390379886E-3</v>
      </c>
      <c r="E239" s="7">
        <v>45973.666666666664</v>
      </c>
      <c r="F239">
        <v>1.0259946506185275E-2</v>
      </c>
    </row>
    <row r="240" spans="1:6" x14ac:dyDescent="0.3">
      <c r="A240" s="3">
        <v>46003.666666666664</v>
      </c>
      <c r="B240">
        <v>8.9918354134445929E-4</v>
      </c>
      <c r="C240" t="s">
        <v>151</v>
      </c>
      <c r="D240">
        <v>-3.8149898717083061E-2</v>
      </c>
      <c r="E240" s="7">
        <v>46003.666666666664</v>
      </c>
      <c r="F240">
        <v>-1.0217800484001187E-2</v>
      </c>
    </row>
    <row r="241" spans="1:6" x14ac:dyDescent="0.3">
      <c r="A241" t="s">
        <v>149</v>
      </c>
      <c r="B241">
        <v>-1.498490728762383E-2</v>
      </c>
      <c r="C241" t="s">
        <v>152</v>
      </c>
      <c r="D241">
        <v>1.8720018720018654E-2</v>
      </c>
      <c r="E241" s="7" t="s">
        <v>149</v>
      </c>
      <c r="F241">
        <v>-7.752909953398909E-3</v>
      </c>
    </row>
    <row r="242" spans="1:6" x14ac:dyDescent="0.3">
      <c r="A242" t="s">
        <v>150</v>
      </c>
      <c r="B242">
        <v>1.8240852212615373E-3</v>
      </c>
      <c r="C242" t="s">
        <v>153</v>
      </c>
      <c r="D242">
        <v>3.9336166302974748E-2</v>
      </c>
      <c r="E242" s="7" t="s">
        <v>150</v>
      </c>
      <c r="F242">
        <v>3.3065161534897294E-3</v>
      </c>
    </row>
    <row r="243" spans="1:6" x14ac:dyDescent="0.3">
      <c r="A243" t="s">
        <v>151</v>
      </c>
      <c r="B243">
        <v>-1.0087032518845048E-2</v>
      </c>
      <c r="C243" t="s">
        <v>154</v>
      </c>
      <c r="D243">
        <v>1.4917951268025795E-2</v>
      </c>
      <c r="E243" s="7" t="s">
        <v>151</v>
      </c>
      <c r="F243">
        <v>-5.6676252650135776E-4</v>
      </c>
    </row>
    <row r="244" spans="1:6" x14ac:dyDescent="0.3">
      <c r="A244" t="s">
        <v>152</v>
      </c>
      <c r="B244">
        <v>1.287522071807029E-3</v>
      </c>
      <c r="C244" t="s">
        <v>155</v>
      </c>
      <c r="D244">
        <v>3.0050628776743481E-2</v>
      </c>
      <c r="E244" s="7" t="s">
        <v>152</v>
      </c>
      <c r="F244">
        <v>1.6508443249600969E-2</v>
      </c>
    </row>
    <row r="245" spans="1:6" x14ac:dyDescent="0.3">
      <c r="A245" t="s">
        <v>153</v>
      </c>
      <c r="B245">
        <v>5.4373783019215187E-3</v>
      </c>
      <c r="C245" t="s">
        <v>156</v>
      </c>
      <c r="D245">
        <v>-3.1710797526557492E-3</v>
      </c>
      <c r="E245" s="7" t="s">
        <v>153</v>
      </c>
      <c r="F245">
        <v>4.0084301004173675E-3</v>
      </c>
    </row>
    <row r="246" spans="1:6" x14ac:dyDescent="0.3">
      <c r="A246" t="s">
        <v>154</v>
      </c>
      <c r="B246">
        <v>-9.8658968831073501E-3</v>
      </c>
      <c r="C246" t="s">
        <v>157</v>
      </c>
      <c r="D246">
        <v>1.017973596309839E-2</v>
      </c>
      <c r="E246" s="7" t="s">
        <v>154</v>
      </c>
      <c r="F246">
        <v>-2.057951926243003E-3</v>
      </c>
    </row>
    <row r="247" spans="1:6" x14ac:dyDescent="0.3">
      <c r="A247" t="s">
        <v>155</v>
      </c>
      <c r="B247">
        <v>5.129719157102211E-3</v>
      </c>
      <c r="C247" t="s">
        <v>158</v>
      </c>
      <c r="D247">
        <v>-1.2124074948826969E-2</v>
      </c>
      <c r="E247" s="7" t="s">
        <v>155</v>
      </c>
      <c r="F247">
        <v>3.9800379444032141E-3</v>
      </c>
    </row>
    <row r="248" spans="1:6" x14ac:dyDescent="0.3">
      <c r="A248" t="s">
        <v>156</v>
      </c>
      <c r="B248">
        <v>5.323836099280322E-3</v>
      </c>
      <c r="C248" t="s">
        <v>159</v>
      </c>
      <c r="D248">
        <v>-3.6127935394751187E-3</v>
      </c>
      <c r="E248" s="7" t="s">
        <v>156</v>
      </c>
      <c r="F248">
        <v>2.4032042723630669E-3</v>
      </c>
    </row>
    <row r="249" spans="1:6" x14ac:dyDescent="0.3">
      <c r="A249" t="s">
        <v>157</v>
      </c>
      <c r="B249">
        <v>-1.4973887001936562E-3</v>
      </c>
      <c r="C249" t="s">
        <v>160</v>
      </c>
      <c r="D249">
        <v>-5.5454836301588569E-3</v>
      </c>
      <c r="E249" s="7" t="s">
        <v>157</v>
      </c>
      <c r="F249">
        <v>-6.3521986803819982E-4</v>
      </c>
    </row>
    <row r="250" spans="1:6" x14ac:dyDescent="0.3">
      <c r="A250" t="s">
        <v>158</v>
      </c>
      <c r="B250">
        <v>1.3167520117045124E-3</v>
      </c>
      <c r="E250" s="7" t="s">
        <v>158</v>
      </c>
      <c r="F250">
        <v>-1.250743269565842E-3</v>
      </c>
    </row>
    <row r="251" spans="1:6" x14ac:dyDescent="0.3">
      <c r="A251" t="s">
        <v>159</v>
      </c>
      <c r="B251">
        <v>-2.4839275277615679E-3</v>
      </c>
      <c r="E251" s="7" t="s">
        <v>159</v>
      </c>
      <c r="F251">
        <v>7.8012728392526267E-4</v>
      </c>
    </row>
    <row r="252" spans="1:6" x14ac:dyDescent="0.3">
      <c r="A252" t="s">
        <v>160</v>
      </c>
      <c r="B252">
        <v>-4.4675552951514959E-3</v>
      </c>
      <c r="E252" s="7" t="s">
        <v>160</v>
      </c>
      <c r="F252">
        <v>-7.9182735701977796E-3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8BC67-B53C-46C5-BC7E-F8DF535471E5}">
  <dimension ref="B1:G252"/>
  <sheetViews>
    <sheetView workbookViewId="0">
      <selection activeCell="F4" sqref="F4"/>
    </sheetView>
  </sheetViews>
  <sheetFormatPr defaultRowHeight="15.6" x14ac:dyDescent="0.3"/>
  <cols>
    <col min="2" max="2" width="10.09765625" bestFit="1" customWidth="1"/>
    <col min="6" max="6" width="12.59765625" style="9" customWidth="1"/>
  </cols>
  <sheetData>
    <row r="1" spans="2:7" x14ac:dyDescent="0.3">
      <c r="C1" t="s">
        <v>169</v>
      </c>
    </row>
    <row r="2" spans="2:7" x14ac:dyDescent="0.3">
      <c r="B2" t="s">
        <v>8</v>
      </c>
      <c r="C2" t="s">
        <v>162</v>
      </c>
      <c r="D2" t="s">
        <v>164</v>
      </c>
      <c r="E2" t="s">
        <v>163</v>
      </c>
      <c r="F2" s="9" t="s">
        <v>170</v>
      </c>
      <c r="G2" t="s">
        <v>171</v>
      </c>
    </row>
    <row r="3" spans="2:7" x14ac:dyDescent="0.3">
      <c r="B3" s="7">
        <v>45659</v>
      </c>
      <c r="C3">
        <f>_xlfn.IFNA(VLOOKUP(B3,Price_Data!A:B,2,FALSE),C2)</f>
        <v>243.85</v>
      </c>
      <c r="D3">
        <f>_xlfn.IFNA(VLOOKUP(B3,Price_Data!C:D,2,FALSE),D2)</f>
        <v>138.31</v>
      </c>
      <c r="E3">
        <f>_xlfn.IFNA(VLOOKUP(B3,Price_Data!E:F,2,FALSE),E2)</f>
        <v>418.58</v>
      </c>
      <c r="F3" s="9">
        <f>SUMPRODUCT(C3:E3,Portfolio_Input!$C$5:$E$5)</f>
        <v>32230.3</v>
      </c>
    </row>
    <row r="4" spans="2:7" x14ac:dyDescent="0.3">
      <c r="B4" s="7">
        <v>45660</v>
      </c>
      <c r="C4">
        <f>_xlfn.IFNA(VLOOKUP(B4,Price_Data!A:B,2,FALSE),C3)</f>
        <v>243.36</v>
      </c>
      <c r="D4">
        <f>_xlfn.IFNA(VLOOKUP(B4,Price_Data!C:D,2,FALSE),D3)</f>
        <v>144.47</v>
      </c>
      <c r="E4">
        <f>_xlfn.IFNA(VLOOKUP(B4,Price_Data!E:F,2,FALSE),E3)</f>
        <v>423.35</v>
      </c>
      <c r="F4" s="9">
        <f>SUMPRODUCT(C4:E4,Portfolio_Input!$C$5:$E$5)</f>
        <v>32663.15</v>
      </c>
      <c r="G4">
        <f>F4/F3-1</f>
        <v>1.342990912278208E-2</v>
      </c>
    </row>
    <row r="5" spans="2:7" x14ac:dyDescent="0.3">
      <c r="B5" s="7">
        <v>45663</v>
      </c>
      <c r="C5">
        <f>_xlfn.IFNA(VLOOKUP(B5,Price_Data!A:B,2,FALSE),C4)</f>
        <v>245</v>
      </c>
      <c r="D5">
        <f>_xlfn.IFNA(VLOOKUP(B5,Price_Data!C:D,2,FALSE),D4)</f>
        <v>149.43</v>
      </c>
      <c r="E5">
        <f>_xlfn.IFNA(VLOOKUP(B5,Price_Data!E:F,2,FALSE),E4)</f>
        <v>427.85</v>
      </c>
      <c r="F5" s="9">
        <f>SUMPRODUCT(C5:E5,Portfolio_Input!$C$5:$E$5)</f>
        <v>33081.75</v>
      </c>
      <c r="G5">
        <f t="shared" ref="G5:G68" si="0">F5/F4-1</f>
        <v>1.2815665359893202E-2</v>
      </c>
    </row>
    <row r="6" spans="2:7" x14ac:dyDescent="0.3">
      <c r="B6" s="7">
        <v>45664</v>
      </c>
      <c r="C6">
        <f>_xlfn.IFNA(VLOOKUP(B6,Price_Data!A:B,2,FALSE),C5)</f>
        <v>242.21</v>
      </c>
      <c r="D6">
        <f>_xlfn.IFNA(VLOOKUP(B6,Price_Data!C:D,2,FALSE),D5)</f>
        <v>140.13999999999999</v>
      </c>
      <c r="E6">
        <f>_xlfn.IFNA(VLOOKUP(B6,Price_Data!E:F,2,FALSE),E5)</f>
        <v>422.37</v>
      </c>
      <c r="F6" s="9">
        <f>SUMPRODUCT(C6:E6,Portfolio_Input!$C$5:$E$5)</f>
        <v>32478.85</v>
      </c>
      <c r="G6">
        <f t="shared" si="0"/>
        <v>-1.8224549789536582E-2</v>
      </c>
    </row>
    <row r="7" spans="2:7" x14ac:dyDescent="0.3">
      <c r="B7" s="7">
        <v>45665</v>
      </c>
      <c r="C7">
        <f>_xlfn.IFNA(VLOOKUP(B7,Price_Data!A:B,2,FALSE),C6)</f>
        <v>242.7</v>
      </c>
      <c r="D7">
        <f>_xlfn.IFNA(VLOOKUP(B7,Price_Data!C:D,2,FALSE),D6)</f>
        <v>140.11000000000001</v>
      </c>
      <c r="E7">
        <f>_xlfn.IFNA(VLOOKUP(B7,Price_Data!E:F,2,FALSE),E6)</f>
        <v>424.56</v>
      </c>
      <c r="F7" s="9">
        <f>SUMPRODUCT(C7:E7,Portfolio_Input!$C$5:$E$5)</f>
        <v>32616.85</v>
      </c>
      <c r="G7">
        <f t="shared" si="0"/>
        <v>4.248918911845756E-3</v>
      </c>
    </row>
    <row r="8" spans="2:7" x14ac:dyDescent="0.3">
      <c r="B8" s="7">
        <v>45667</v>
      </c>
      <c r="C8">
        <f>_xlfn.IFNA(VLOOKUP(B8,Price_Data!A:B,2,FALSE),C7)</f>
        <v>236.85</v>
      </c>
      <c r="D8">
        <f>_xlfn.IFNA(VLOOKUP(B8,Price_Data!C:D,2,FALSE),D7)</f>
        <v>135.91</v>
      </c>
      <c r="E8">
        <f>_xlfn.IFNA(VLOOKUP(B8,Price_Data!E:F,2,FALSE),E7)</f>
        <v>418.95</v>
      </c>
      <c r="F8" s="9">
        <f>SUMPRODUCT(C8:E8,Portfolio_Input!$C$5:$E$5)</f>
        <v>32087.5</v>
      </c>
      <c r="G8">
        <f t="shared" si="0"/>
        <v>-1.6229341582648216E-2</v>
      </c>
    </row>
    <row r="9" spans="2:7" x14ac:dyDescent="0.3">
      <c r="B9" s="7">
        <v>45670</v>
      </c>
      <c r="C9">
        <f>_xlfn.IFNA(VLOOKUP(B9,Price_Data!A:B,2,FALSE),C8)</f>
        <v>234.4</v>
      </c>
      <c r="D9">
        <f>_xlfn.IFNA(VLOOKUP(B9,Price_Data!C:D,2,FALSE),D8)</f>
        <v>133.22999999999999</v>
      </c>
      <c r="E9">
        <f>_xlfn.IFNA(VLOOKUP(B9,Price_Data!E:F,2,FALSE),E8)</f>
        <v>417.19</v>
      </c>
      <c r="F9" s="9">
        <f>SUMPRODUCT(C9:E9,Portfolio_Input!$C$5:$E$5)</f>
        <v>31878.15</v>
      </c>
      <c r="G9">
        <f t="shared" si="0"/>
        <v>-6.5243474873392104E-3</v>
      </c>
    </row>
    <row r="10" spans="2:7" x14ac:dyDescent="0.3">
      <c r="B10" s="7">
        <v>45671</v>
      </c>
      <c r="C10">
        <f>_xlfn.IFNA(VLOOKUP(B10,Price_Data!A:B,2,FALSE),C9)</f>
        <v>233.28</v>
      </c>
      <c r="D10">
        <f>_xlfn.IFNA(VLOOKUP(B10,Price_Data!C:D,2,FALSE),D9)</f>
        <v>131.76</v>
      </c>
      <c r="E10">
        <f>_xlfn.IFNA(VLOOKUP(B10,Price_Data!E:F,2,FALSE),E9)</f>
        <v>415.67</v>
      </c>
      <c r="F10" s="9">
        <f>SUMPRODUCT(C10:E10,Portfolio_Input!$C$5:$E$5)</f>
        <v>31733.4</v>
      </c>
      <c r="G10">
        <f t="shared" si="0"/>
        <v>-4.5407277398469281E-3</v>
      </c>
    </row>
    <row r="11" spans="2:7" x14ac:dyDescent="0.3">
      <c r="B11" s="7">
        <v>45672</v>
      </c>
      <c r="C11">
        <f>_xlfn.IFNA(VLOOKUP(B11,Price_Data!A:B,2,FALSE),C10)</f>
        <v>237.87</v>
      </c>
      <c r="D11">
        <f>_xlfn.IFNA(VLOOKUP(B11,Price_Data!C:D,2,FALSE),D10)</f>
        <v>136.24</v>
      </c>
      <c r="E11">
        <f>_xlfn.IFNA(VLOOKUP(B11,Price_Data!E:F,2,FALSE),E10)</f>
        <v>426.31</v>
      </c>
      <c r="F11" s="9">
        <f>SUMPRODUCT(C11:E11,Portfolio_Input!$C$5:$E$5)</f>
        <v>32552.649999999998</v>
      </c>
      <c r="G11">
        <f t="shared" si="0"/>
        <v>2.5816647444017793E-2</v>
      </c>
    </row>
    <row r="12" spans="2:7" x14ac:dyDescent="0.3">
      <c r="B12" s="7">
        <v>45673</v>
      </c>
      <c r="C12">
        <f>_xlfn.IFNA(VLOOKUP(B12,Price_Data!A:B,2,FALSE),C11)</f>
        <v>228.26</v>
      </c>
      <c r="D12">
        <f>_xlfn.IFNA(VLOOKUP(B12,Price_Data!C:D,2,FALSE),D11)</f>
        <v>133.57</v>
      </c>
      <c r="E12">
        <f>_xlfn.IFNA(VLOOKUP(B12,Price_Data!E:F,2,FALSE),E11)</f>
        <v>424.58</v>
      </c>
      <c r="F12" s="9">
        <f>SUMPRODUCT(C12:E12,Portfolio_Input!$C$5:$E$5)</f>
        <v>32237.949999999997</v>
      </c>
      <c r="G12">
        <f t="shared" si="0"/>
        <v>-9.6674157096273694E-3</v>
      </c>
    </row>
    <row r="13" spans="2:7" x14ac:dyDescent="0.3">
      <c r="B13" s="7">
        <v>45674</v>
      </c>
      <c r="C13">
        <f>_xlfn.IFNA(VLOOKUP(B13,Price_Data!A:B,2,FALSE),C12)</f>
        <v>229.98</v>
      </c>
      <c r="D13">
        <f>_xlfn.IFNA(VLOOKUP(B13,Price_Data!C:D,2,FALSE),D12)</f>
        <v>137.71</v>
      </c>
      <c r="E13">
        <f>_xlfn.IFNA(VLOOKUP(B13,Price_Data!E:F,2,FALSE),E12)</f>
        <v>429.03</v>
      </c>
      <c r="F13" s="9">
        <f>SUMPRODUCT(C13:E13,Portfolio_Input!$C$5:$E$5)</f>
        <v>32634.25</v>
      </c>
      <c r="G13">
        <f t="shared" si="0"/>
        <v>1.2292965278499546E-2</v>
      </c>
    </row>
    <row r="14" spans="2:7" x14ac:dyDescent="0.3">
      <c r="B14" s="7">
        <v>45678</v>
      </c>
      <c r="C14">
        <f>_xlfn.IFNA(VLOOKUP(B14,Price_Data!A:B,2,FALSE),C13)</f>
        <v>222.64</v>
      </c>
      <c r="D14">
        <f>_xlfn.IFNA(VLOOKUP(B14,Price_Data!C:D,2,FALSE),D13)</f>
        <v>140.83000000000001</v>
      </c>
      <c r="E14">
        <f>_xlfn.IFNA(VLOOKUP(B14,Price_Data!E:F,2,FALSE),E13)</f>
        <v>428.5</v>
      </c>
      <c r="F14" s="9">
        <f>SUMPRODUCT(C14:E14,Portfolio_Input!$C$5:$E$5)</f>
        <v>32570.35</v>
      </c>
      <c r="G14">
        <f t="shared" si="0"/>
        <v>-1.9580655293135463E-3</v>
      </c>
    </row>
    <row r="15" spans="2:7" x14ac:dyDescent="0.3">
      <c r="B15" s="7">
        <v>45679</v>
      </c>
      <c r="C15">
        <f>_xlfn.IFNA(VLOOKUP(B15,Price_Data!A:B,2,FALSE),C14)</f>
        <v>223.83</v>
      </c>
      <c r="D15">
        <f>_xlfn.IFNA(VLOOKUP(B15,Price_Data!C:D,2,FALSE),D14)</f>
        <v>147.07</v>
      </c>
      <c r="E15">
        <f>_xlfn.IFNA(VLOOKUP(B15,Price_Data!E:F,2,FALSE),E14)</f>
        <v>446.2</v>
      </c>
      <c r="F15" s="9">
        <f>SUMPRODUCT(C15:E15,Portfolio_Input!$C$5:$E$5)</f>
        <v>33806.199999999997</v>
      </c>
      <c r="G15">
        <f t="shared" si="0"/>
        <v>3.7944019637492277E-2</v>
      </c>
    </row>
    <row r="16" spans="2:7" x14ac:dyDescent="0.3">
      <c r="B16" s="7">
        <v>45680</v>
      </c>
      <c r="C16">
        <f>_xlfn.IFNA(VLOOKUP(B16,Price_Data!A:B,2,FALSE),C15)</f>
        <v>223.66</v>
      </c>
      <c r="D16">
        <f>_xlfn.IFNA(VLOOKUP(B16,Price_Data!C:D,2,FALSE),D15)</f>
        <v>147.22</v>
      </c>
      <c r="E16">
        <f>_xlfn.IFNA(VLOOKUP(B16,Price_Data!E:F,2,FALSE),E15)</f>
        <v>446.71</v>
      </c>
      <c r="F16" s="9">
        <f>SUMPRODUCT(C16:E16,Portfolio_Input!$C$5:$E$5)</f>
        <v>33838</v>
      </c>
      <c r="G16">
        <f t="shared" si="0"/>
        <v>9.4065585602653989E-4</v>
      </c>
    </row>
    <row r="17" spans="2:7" x14ac:dyDescent="0.3">
      <c r="B17" s="7">
        <v>45681</v>
      </c>
      <c r="C17">
        <f>_xlfn.IFNA(VLOOKUP(B17,Price_Data!A:B,2,FALSE),C16)</f>
        <v>222.78</v>
      </c>
      <c r="D17">
        <f>_xlfn.IFNA(VLOOKUP(B17,Price_Data!C:D,2,FALSE),D16)</f>
        <v>142.62</v>
      </c>
      <c r="E17">
        <f>_xlfn.IFNA(VLOOKUP(B17,Price_Data!E:F,2,FALSE),E16)</f>
        <v>444.06</v>
      </c>
      <c r="F17" s="9">
        <f>SUMPRODUCT(C17:E17,Portfolio_Input!$C$5:$E$5)</f>
        <v>33550.799999999996</v>
      </c>
      <c r="G17">
        <f t="shared" si="0"/>
        <v>-8.4874992611857492E-3</v>
      </c>
    </row>
    <row r="18" spans="2:7" x14ac:dyDescent="0.3">
      <c r="B18" s="7">
        <v>45684</v>
      </c>
      <c r="C18">
        <f>_xlfn.IFNA(VLOOKUP(B18,Price_Data!A:B,2,FALSE),C17)</f>
        <v>229.86</v>
      </c>
      <c r="D18">
        <f>_xlfn.IFNA(VLOOKUP(B18,Price_Data!C:D,2,FALSE),D17)</f>
        <v>118.42</v>
      </c>
      <c r="E18">
        <f>_xlfn.IFNA(VLOOKUP(B18,Price_Data!E:F,2,FALSE),E17)</f>
        <v>434.56</v>
      </c>
      <c r="F18" s="9">
        <f>SUMPRODUCT(C18:E18,Portfolio_Input!$C$5:$E$5)</f>
        <v>32482</v>
      </c>
      <c r="G18">
        <f t="shared" si="0"/>
        <v>-3.1856170344671253E-2</v>
      </c>
    </row>
    <row r="19" spans="2:7" x14ac:dyDescent="0.3">
      <c r="B19" s="7">
        <v>45685</v>
      </c>
      <c r="C19">
        <f>_xlfn.IFNA(VLOOKUP(B19,Price_Data!A:B,2,FALSE),C18)</f>
        <v>238.26</v>
      </c>
      <c r="D19">
        <f>_xlfn.IFNA(VLOOKUP(B19,Price_Data!C:D,2,FALSE),D18)</f>
        <v>128.99</v>
      </c>
      <c r="E19">
        <f>_xlfn.IFNA(VLOOKUP(B19,Price_Data!E:F,2,FALSE),E18)</f>
        <v>447.2</v>
      </c>
      <c r="F19" s="9">
        <f>SUMPRODUCT(C19:E19,Portfolio_Input!$C$5:$E$5)</f>
        <v>33630.65</v>
      </c>
      <c r="G19">
        <f t="shared" si="0"/>
        <v>3.5362662397635747E-2</v>
      </c>
    </row>
    <row r="20" spans="2:7" x14ac:dyDescent="0.3">
      <c r="B20" s="7">
        <v>45686</v>
      </c>
      <c r="C20">
        <f>_xlfn.IFNA(VLOOKUP(B20,Price_Data!A:B,2,FALSE),C19)</f>
        <v>239.36</v>
      </c>
      <c r="D20">
        <f>_xlfn.IFNA(VLOOKUP(B20,Price_Data!C:D,2,FALSE),D19)</f>
        <v>123.7</v>
      </c>
      <c r="E20">
        <f>_xlfn.IFNA(VLOOKUP(B20,Price_Data!E:F,2,FALSE),E19)</f>
        <v>442.33</v>
      </c>
      <c r="F20" s="9">
        <f>SUMPRODUCT(C20:E20,Portfolio_Input!$C$5:$E$5)</f>
        <v>33222.699999999997</v>
      </c>
      <c r="G20">
        <f t="shared" si="0"/>
        <v>-1.2130303755651606E-2</v>
      </c>
    </row>
    <row r="21" spans="2:7" x14ac:dyDescent="0.3">
      <c r="B21" s="7">
        <v>45687</v>
      </c>
      <c r="C21">
        <f>_xlfn.IFNA(VLOOKUP(B21,Price_Data!A:B,2,FALSE),C20)</f>
        <v>237.59</v>
      </c>
      <c r="D21">
        <f>_xlfn.IFNA(VLOOKUP(B21,Price_Data!C:D,2,FALSE),D20)</f>
        <v>124.65</v>
      </c>
      <c r="E21">
        <f>_xlfn.IFNA(VLOOKUP(B21,Price_Data!E:F,2,FALSE),E20)</f>
        <v>414.99</v>
      </c>
      <c r="F21" s="9">
        <f>SUMPRODUCT(C21:E21,Portfolio_Input!$C$5:$E$5)</f>
        <v>31579.5</v>
      </c>
      <c r="G21">
        <f t="shared" si="0"/>
        <v>-4.9460158265282383E-2</v>
      </c>
    </row>
    <row r="22" spans="2:7" x14ac:dyDescent="0.3">
      <c r="B22" s="7">
        <v>45688</v>
      </c>
      <c r="C22">
        <f>_xlfn.IFNA(VLOOKUP(B22,Price_Data!A:B,2,FALSE),C21)</f>
        <v>236</v>
      </c>
      <c r="D22">
        <f>_xlfn.IFNA(VLOOKUP(B22,Price_Data!C:D,2,FALSE),D21)</f>
        <v>120.07</v>
      </c>
      <c r="E22">
        <f>_xlfn.IFNA(VLOOKUP(B22,Price_Data!E:F,2,FALSE),E21)</f>
        <v>415.06</v>
      </c>
      <c r="F22" s="9">
        <f>SUMPRODUCT(C22:E22,Portfolio_Input!$C$5:$E$5)</f>
        <v>31445.35</v>
      </c>
      <c r="G22">
        <f t="shared" si="0"/>
        <v>-4.2480089931760112E-3</v>
      </c>
    </row>
    <row r="23" spans="2:7" x14ac:dyDescent="0.3">
      <c r="B23" s="7">
        <v>45691</v>
      </c>
      <c r="C23">
        <f>_xlfn.IFNA(VLOOKUP(B23,Price_Data!A:B,2,FALSE),C22)</f>
        <v>228.01</v>
      </c>
      <c r="D23">
        <f>_xlfn.IFNA(VLOOKUP(B23,Price_Data!C:D,2,FALSE),D22)</f>
        <v>116.66</v>
      </c>
      <c r="E23">
        <f>_xlfn.IFNA(VLOOKUP(B23,Price_Data!E:F,2,FALSE),E22)</f>
        <v>410.92</v>
      </c>
      <c r="F23" s="9">
        <f>SUMPRODUCT(C23:E23,Portfolio_Input!$C$5:$E$5)</f>
        <v>30991.85</v>
      </c>
      <c r="G23">
        <f t="shared" si="0"/>
        <v>-1.4421846155313944E-2</v>
      </c>
    </row>
    <row r="24" spans="2:7" x14ac:dyDescent="0.3">
      <c r="B24" s="7">
        <v>45692</v>
      </c>
      <c r="C24">
        <f>_xlfn.IFNA(VLOOKUP(B24,Price_Data!A:B,2,FALSE),C23)</f>
        <v>232.8</v>
      </c>
      <c r="D24">
        <f>_xlfn.IFNA(VLOOKUP(B24,Price_Data!C:D,2,FALSE),D23)</f>
        <v>118.65</v>
      </c>
      <c r="E24">
        <f>_xlfn.IFNA(VLOOKUP(B24,Price_Data!E:F,2,FALSE),E23)</f>
        <v>412.37</v>
      </c>
      <c r="F24" s="9">
        <f>SUMPRODUCT(C24:E24,Portfolio_Input!$C$5:$E$5)</f>
        <v>31200.45</v>
      </c>
      <c r="G24">
        <f t="shared" si="0"/>
        <v>6.7308018075720177E-3</v>
      </c>
    </row>
    <row r="25" spans="2:7" x14ac:dyDescent="0.3">
      <c r="B25" s="7">
        <v>45693</v>
      </c>
      <c r="C25">
        <f>_xlfn.IFNA(VLOOKUP(B25,Price_Data!A:B,2,FALSE),C24)</f>
        <v>232.47</v>
      </c>
      <c r="D25">
        <f>_xlfn.IFNA(VLOOKUP(B25,Price_Data!C:D,2,FALSE),D24)</f>
        <v>124.83</v>
      </c>
      <c r="E25">
        <f>_xlfn.IFNA(VLOOKUP(B25,Price_Data!E:F,2,FALSE),E24)</f>
        <v>413.29</v>
      </c>
      <c r="F25" s="9">
        <f>SUMPRODUCT(C25:E25,Portfolio_Input!$C$5:$E$5)</f>
        <v>31405.200000000001</v>
      </c>
      <c r="G25">
        <f t="shared" si="0"/>
        <v>6.5624053499229174E-3</v>
      </c>
    </row>
    <row r="26" spans="2:7" x14ac:dyDescent="0.3">
      <c r="B26" s="7">
        <v>45694</v>
      </c>
      <c r="C26">
        <f>_xlfn.IFNA(VLOOKUP(B26,Price_Data!A:B,2,FALSE),C25)</f>
        <v>233.22</v>
      </c>
      <c r="D26">
        <f>_xlfn.IFNA(VLOOKUP(B26,Price_Data!C:D,2,FALSE),D25)</f>
        <v>128.68</v>
      </c>
      <c r="E26">
        <f>_xlfn.IFNA(VLOOKUP(B26,Price_Data!E:F,2,FALSE),E25)</f>
        <v>415.82</v>
      </c>
      <c r="F26" s="9">
        <f>SUMPRODUCT(C26:E26,Portfolio_Input!$C$5:$E$5)</f>
        <v>31664.5</v>
      </c>
      <c r="G26">
        <f t="shared" si="0"/>
        <v>8.256594449326915E-3</v>
      </c>
    </row>
    <row r="27" spans="2:7" x14ac:dyDescent="0.3">
      <c r="B27" s="7">
        <v>45695</v>
      </c>
      <c r="C27">
        <f>_xlfn.IFNA(VLOOKUP(B27,Price_Data!A:B,2,FALSE),C26)</f>
        <v>227.63</v>
      </c>
      <c r="D27">
        <f>_xlfn.IFNA(VLOOKUP(B27,Price_Data!C:D,2,FALSE),D26)</f>
        <v>129.84</v>
      </c>
      <c r="E27">
        <f>_xlfn.IFNA(VLOOKUP(B27,Price_Data!E:F,2,FALSE),E26)</f>
        <v>409.75</v>
      </c>
      <c r="F27" s="9">
        <f>SUMPRODUCT(C27:E27,Portfolio_Input!$C$5:$E$5)</f>
        <v>31245.45</v>
      </c>
      <c r="G27">
        <f t="shared" si="0"/>
        <v>-1.3234063383284145E-2</v>
      </c>
    </row>
    <row r="28" spans="2:7" x14ac:dyDescent="0.3">
      <c r="B28" s="7">
        <v>45698</v>
      </c>
      <c r="C28">
        <f>_xlfn.IFNA(VLOOKUP(B28,Price_Data!A:B,2,FALSE),C27)</f>
        <v>227.65</v>
      </c>
      <c r="D28">
        <f>_xlfn.IFNA(VLOOKUP(B28,Price_Data!C:D,2,FALSE),D27)</f>
        <v>133.57</v>
      </c>
      <c r="E28">
        <f>_xlfn.IFNA(VLOOKUP(B28,Price_Data!E:F,2,FALSE),E27)</f>
        <v>412.22</v>
      </c>
      <c r="F28" s="9">
        <f>SUMPRODUCT(C28:E28,Portfolio_Input!$C$5:$E$5)</f>
        <v>31487.200000000001</v>
      </c>
      <c r="G28">
        <f t="shared" si="0"/>
        <v>7.7371265256220845E-3</v>
      </c>
    </row>
    <row r="29" spans="2:7" x14ac:dyDescent="0.3">
      <c r="B29" s="7">
        <v>45699</v>
      </c>
      <c r="C29">
        <f>_xlfn.IFNA(VLOOKUP(B29,Price_Data!A:B,2,FALSE),C28)</f>
        <v>232.62</v>
      </c>
      <c r="D29">
        <f>_xlfn.IFNA(VLOOKUP(B29,Price_Data!C:D,2,FALSE),D28)</f>
        <v>132.80000000000001</v>
      </c>
      <c r="E29">
        <f>_xlfn.IFNA(VLOOKUP(B29,Price_Data!E:F,2,FALSE),E28)</f>
        <v>411.44</v>
      </c>
      <c r="F29" s="9">
        <f>SUMPRODUCT(C29:E29,Portfolio_Input!$C$5:$E$5)</f>
        <v>31495.700000000004</v>
      </c>
      <c r="G29">
        <f t="shared" si="0"/>
        <v>2.699509642014597E-4</v>
      </c>
    </row>
    <row r="30" spans="2:7" x14ac:dyDescent="0.3">
      <c r="B30" s="7">
        <v>45700</v>
      </c>
      <c r="C30">
        <f>_xlfn.IFNA(VLOOKUP(B30,Price_Data!A:B,2,FALSE),C29)</f>
        <v>236.87</v>
      </c>
      <c r="D30">
        <f>_xlfn.IFNA(VLOOKUP(B30,Price_Data!C:D,2,FALSE),D29)</f>
        <v>131.13999999999999</v>
      </c>
      <c r="E30">
        <f>_xlfn.IFNA(VLOOKUP(B30,Price_Data!E:F,2,FALSE),E29)</f>
        <v>409.04</v>
      </c>
      <c r="F30" s="9">
        <f>SUMPRODUCT(C30:E30,Portfolio_Input!$C$5:$E$5)</f>
        <v>31373.95</v>
      </c>
      <c r="G30">
        <f t="shared" si="0"/>
        <v>-3.865607051121378E-3</v>
      </c>
    </row>
    <row r="31" spans="2:7" x14ac:dyDescent="0.3">
      <c r="B31" s="7">
        <v>45701</v>
      </c>
      <c r="C31">
        <f>_xlfn.IFNA(VLOOKUP(B31,Price_Data!A:B,2,FALSE),C30)</f>
        <v>241.53</v>
      </c>
      <c r="D31">
        <f>_xlfn.IFNA(VLOOKUP(B31,Price_Data!C:D,2,FALSE),D30)</f>
        <v>135.29</v>
      </c>
      <c r="E31">
        <f>_xlfn.IFNA(VLOOKUP(B31,Price_Data!E:F,2,FALSE),E30)</f>
        <v>410.54</v>
      </c>
      <c r="F31" s="9">
        <f>SUMPRODUCT(C31:E31,Portfolio_Input!$C$5:$E$5)</f>
        <v>31637.600000000002</v>
      </c>
      <c r="G31">
        <f t="shared" si="0"/>
        <v>8.4034684826106432E-3</v>
      </c>
    </row>
    <row r="32" spans="2:7" x14ac:dyDescent="0.3">
      <c r="B32" s="7">
        <v>45702</v>
      </c>
      <c r="C32">
        <f>_xlfn.IFNA(VLOOKUP(B32,Price_Data!A:B,2,FALSE),C31)</f>
        <v>244.6</v>
      </c>
      <c r="D32">
        <f>_xlfn.IFNA(VLOOKUP(B32,Price_Data!C:D,2,FALSE),D31)</f>
        <v>138.85</v>
      </c>
      <c r="E32">
        <f>_xlfn.IFNA(VLOOKUP(B32,Price_Data!E:F,2,FALSE),E31)</f>
        <v>408.43</v>
      </c>
      <c r="F32" s="9">
        <f>SUMPRODUCT(C32:E32,Portfolio_Input!$C$5:$E$5)</f>
        <v>31646.05</v>
      </c>
      <c r="G32">
        <f t="shared" si="0"/>
        <v>2.6708726325619381E-4</v>
      </c>
    </row>
    <row r="33" spans="2:7" x14ac:dyDescent="0.3">
      <c r="B33" s="7">
        <v>45706</v>
      </c>
      <c r="C33">
        <f>_xlfn.IFNA(VLOOKUP(B33,Price_Data!A:B,2,FALSE),C32)</f>
        <v>244.47</v>
      </c>
      <c r="D33">
        <f>_xlfn.IFNA(VLOOKUP(B33,Price_Data!C:D,2,FALSE),D32)</f>
        <v>139.4</v>
      </c>
      <c r="E33">
        <f>_xlfn.IFNA(VLOOKUP(B33,Price_Data!E:F,2,FALSE),E32)</f>
        <v>409.64</v>
      </c>
      <c r="F33" s="9">
        <f>SUMPRODUCT(C33:E33,Portfolio_Input!$C$5:$E$5)</f>
        <v>31730.449999999997</v>
      </c>
      <c r="G33">
        <f t="shared" si="0"/>
        <v>2.6669995149473102E-3</v>
      </c>
    </row>
    <row r="34" spans="2:7" x14ac:dyDescent="0.3">
      <c r="B34" s="7">
        <v>45707</v>
      </c>
      <c r="C34">
        <f>_xlfn.IFNA(VLOOKUP(B34,Price_Data!A:B,2,FALSE),C33)</f>
        <v>244.87</v>
      </c>
      <c r="D34">
        <f>_xlfn.IFNA(VLOOKUP(B34,Price_Data!C:D,2,FALSE),D33)</f>
        <v>139.22999999999999</v>
      </c>
      <c r="E34">
        <f>_xlfn.IFNA(VLOOKUP(B34,Price_Data!E:F,2,FALSE),E33)</f>
        <v>414.77</v>
      </c>
      <c r="F34" s="9">
        <f>SUMPRODUCT(C34:E34,Portfolio_Input!$C$5:$E$5)</f>
        <v>32039.999999999996</v>
      </c>
      <c r="G34">
        <f t="shared" si="0"/>
        <v>9.7556132988974031E-3</v>
      </c>
    </row>
    <row r="35" spans="2:7" x14ac:dyDescent="0.3">
      <c r="B35" s="7">
        <v>45708</v>
      </c>
      <c r="C35">
        <f>_xlfn.IFNA(VLOOKUP(B35,Price_Data!A:B,2,FALSE),C34)</f>
        <v>245.83</v>
      </c>
      <c r="D35">
        <f>_xlfn.IFNA(VLOOKUP(B35,Price_Data!C:D,2,FALSE),D34)</f>
        <v>140.11000000000001</v>
      </c>
      <c r="E35">
        <f>_xlfn.IFNA(VLOOKUP(B35,Price_Data!E:F,2,FALSE),E34)</f>
        <v>416.13</v>
      </c>
      <c r="F35" s="9">
        <f>SUMPRODUCT(C35:E35,Portfolio_Input!$C$5:$E$5)</f>
        <v>32158</v>
      </c>
      <c r="G35">
        <f t="shared" si="0"/>
        <v>3.6828963795256797E-3</v>
      </c>
    </row>
    <row r="36" spans="2:7" x14ac:dyDescent="0.3">
      <c r="B36" s="7">
        <v>45709</v>
      </c>
      <c r="C36">
        <f>_xlfn.IFNA(VLOOKUP(B36,Price_Data!A:B,2,FALSE),C35)</f>
        <v>245.55</v>
      </c>
      <c r="D36">
        <f>_xlfn.IFNA(VLOOKUP(B36,Price_Data!C:D,2,FALSE),D35)</f>
        <v>134.43</v>
      </c>
      <c r="E36">
        <f>_xlfn.IFNA(VLOOKUP(B36,Price_Data!E:F,2,FALSE),E35)</f>
        <v>408.21</v>
      </c>
      <c r="F36" s="9">
        <f>SUMPRODUCT(C36:E36,Portfolio_Input!$C$5:$E$5)</f>
        <v>31536.6</v>
      </c>
      <c r="G36">
        <f t="shared" si="0"/>
        <v>-1.9323341003793848E-2</v>
      </c>
    </row>
    <row r="37" spans="2:7" x14ac:dyDescent="0.3">
      <c r="B37" s="7">
        <v>45712</v>
      </c>
      <c r="C37">
        <f>_xlfn.IFNA(VLOOKUP(B37,Price_Data!A:B,2,FALSE),C36)</f>
        <v>247.1</v>
      </c>
      <c r="D37">
        <f>_xlfn.IFNA(VLOOKUP(B37,Price_Data!C:D,2,FALSE),D36)</f>
        <v>130.28</v>
      </c>
      <c r="E37">
        <f>_xlfn.IFNA(VLOOKUP(B37,Price_Data!E:F,2,FALSE),E36)</f>
        <v>404</v>
      </c>
      <c r="F37" s="9">
        <f>SUMPRODUCT(C37:E37,Portfolio_Input!$C$5:$E$5)</f>
        <v>31203.5</v>
      </c>
      <c r="G37">
        <f t="shared" si="0"/>
        <v>-1.0562330752205362E-2</v>
      </c>
    </row>
    <row r="38" spans="2:7" x14ac:dyDescent="0.3">
      <c r="B38" s="7">
        <v>45713</v>
      </c>
      <c r="C38">
        <f>_xlfn.IFNA(VLOOKUP(B38,Price_Data!A:B,2,FALSE),C37)</f>
        <v>247.04</v>
      </c>
      <c r="D38">
        <f>_xlfn.IFNA(VLOOKUP(B38,Price_Data!C:D,2,FALSE),D37)</f>
        <v>126.63</v>
      </c>
      <c r="E38">
        <f>_xlfn.IFNA(VLOOKUP(B38,Price_Data!E:F,2,FALSE),E37)</f>
        <v>397.9</v>
      </c>
      <c r="F38" s="9">
        <f>SUMPRODUCT(C38:E38,Portfolio_Input!$C$5:$E$5)</f>
        <v>30745.35</v>
      </c>
      <c r="G38">
        <f t="shared" si="0"/>
        <v>-1.4682647779896585E-2</v>
      </c>
    </row>
    <row r="39" spans="2:7" x14ac:dyDescent="0.3">
      <c r="B39" s="7">
        <v>45714</v>
      </c>
      <c r="C39">
        <f>_xlfn.IFNA(VLOOKUP(B39,Price_Data!A:B,2,FALSE),C38)</f>
        <v>240.36</v>
      </c>
      <c r="D39">
        <f>_xlfn.IFNA(VLOOKUP(B39,Price_Data!C:D,2,FALSE),D38)</f>
        <v>131.28</v>
      </c>
      <c r="E39">
        <f>_xlfn.IFNA(VLOOKUP(B39,Price_Data!E:F,2,FALSE),E38)</f>
        <v>399.73</v>
      </c>
      <c r="F39" s="9">
        <f>SUMPRODUCT(C39:E39,Portfolio_Input!$C$5:$E$5)</f>
        <v>30871.200000000004</v>
      </c>
      <c r="G39">
        <f t="shared" si="0"/>
        <v>4.0933019139481885E-3</v>
      </c>
    </row>
    <row r="40" spans="2:7" x14ac:dyDescent="0.3">
      <c r="B40" s="7">
        <v>45715</v>
      </c>
      <c r="C40">
        <f>_xlfn.IFNA(VLOOKUP(B40,Price_Data!A:B,2,FALSE),C39)</f>
        <v>237.3</v>
      </c>
      <c r="D40">
        <f>_xlfn.IFNA(VLOOKUP(B40,Price_Data!C:D,2,FALSE),D39)</f>
        <v>120.15</v>
      </c>
      <c r="E40">
        <f>_xlfn.IFNA(VLOOKUP(B40,Price_Data!E:F,2,FALSE),E39)</f>
        <v>392.53</v>
      </c>
      <c r="F40" s="9">
        <f>SUMPRODUCT(C40:E40,Portfolio_Input!$C$5:$E$5)</f>
        <v>30115.05</v>
      </c>
      <c r="G40">
        <f t="shared" si="0"/>
        <v>-2.4493702868693346E-2</v>
      </c>
    </row>
    <row r="41" spans="2:7" x14ac:dyDescent="0.3">
      <c r="B41" s="7">
        <v>45716</v>
      </c>
      <c r="C41">
        <f>_xlfn.IFNA(VLOOKUP(B41,Price_Data!A:B,2,FALSE),C40)</f>
        <v>241.84</v>
      </c>
      <c r="D41">
        <f>_xlfn.IFNA(VLOOKUP(B41,Price_Data!C:D,2,FALSE),D40)</f>
        <v>124.92</v>
      </c>
      <c r="E41">
        <f>_xlfn.IFNA(VLOOKUP(B41,Price_Data!E:F,2,FALSE),E40)</f>
        <v>396.99</v>
      </c>
      <c r="F41" s="9">
        <f>SUMPRODUCT(C41:E41,Portfolio_Input!$C$5:$E$5)</f>
        <v>30570</v>
      </c>
      <c r="G41">
        <f t="shared" si="0"/>
        <v>1.5107064407995363E-2</v>
      </c>
    </row>
    <row r="42" spans="2:7" x14ac:dyDescent="0.3">
      <c r="B42" s="7">
        <v>45719</v>
      </c>
      <c r="C42">
        <f>_xlfn.IFNA(VLOOKUP(B42,Price_Data!A:B,2,FALSE),C41)</f>
        <v>238.03</v>
      </c>
      <c r="D42">
        <f>_xlfn.IFNA(VLOOKUP(B42,Price_Data!C:D,2,FALSE),D41)</f>
        <v>114.06</v>
      </c>
      <c r="E42">
        <f>_xlfn.IFNA(VLOOKUP(B42,Price_Data!E:F,2,FALSE),E41)</f>
        <v>388.49</v>
      </c>
      <c r="F42" s="9">
        <f>SUMPRODUCT(C42:E42,Portfolio_Input!$C$5:$E$5)</f>
        <v>29731.350000000002</v>
      </c>
      <c r="G42">
        <f t="shared" si="0"/>
        <v>-2.7433758586849821E-2</v>
      </c>
    </row>
    <row r="43" spans="2:7" x14ac:dyDescent="0.3">
      <c r="B43" s="7">
        <v>45720</v>
      </c>
      <c r="C43">
        <f>_xlfn.IFNA(VLOOKUP(B43,Price_Data!A:B,2,FALSE),C42)</f>
        <v>235.93</v>
      </c>
      <c r="D43">
        <f>_xlfn.IFNA(VLOOKUP(B43,Price_Data!C:D,2,FALSE),D42)</f>
        <v>115.99</v>
      </c>
      <c r="E43">
        <f>_xlfn.IFNA(VLOOKUP(B43,Price_Data!E:F,2,FALSE),E42)</f>
        <v>388.61</v>
      </c>
      <c r="F43" s="9">
        <f>SUMPRODUCT(C43:E43,Portfolio_Input!$C$5:$E$5)</f>
        <v>29755.300000000003</v>
      </c>
      <c r="G43">
        <f t="shared" si="0"/>
        <v>8.0554700677915037E-4</v>
      </c>
    </row>
    <row r="44" spans="2:7" x14ac:dyDescent="0.3">
      <c r="B44" s="7">
        <v>45721</v>
      </c>
      <c r="C44">
        <f>_xlfn.IFNA(VLOOKUP(B44,Price_Data!A:B,2,FALSE),C43)</f>
        <v>235.74</v>
      </c>
      <c r="D44">
        <f>_xlfn.IFNA(VLOOKUP(B44,Price_Data!C:D,2,FALSE),D43)</f>
        <v>117.3</v>
      </c>
      <c r="E44">
        <f>_xlfn.IFNA(VLOOKUP(B44,Price_Data!E:F,2,FALSE),E43)</f>
        <v>401.02</v>
      </c>
      <c r="F44" s="9">
        <f>SUMPRODUCT(C44:E44,Portfolio_Input!$C$5:$E$5)</f>
        <v>30529.799999999996</v>
      </c>
      <c r="G44">
        <f t="shared" si="0"/>
        <v>2.6028976350431332E-2</v>
      </c>
    </row>
    <row r="45" spans="2:7" x14ac:dyDescent="0.3">
      <c r="B45" s="7">
        <v>45722</v>
      </c>
      <c r="C45">
        <f>_xlfn.IFNA(VLOOKUP(B45,Price_Data!A:B,2,FALSE),C44)</f>
        <v>235.33</v>
      </c>
      <c r="D45">
        <f>_xlfn.IFNA(VLOOKUP(B45,Price_Data!C:D,2,FALSE),D44)</f>
        <v>110.57</v>
      </c>
      <c r="E45">
        <f>_xlfn.IFNA(VLOOKUP(B45,Price_Data!E:F,2,FALSE),E44)</f>
        <v>396.89</v>
      </c>
      <c r="F45" s="9">
        <f>SUMPRODUCT(C45:E45,Portfolio_Input!$C$5:$E$5)</f>
        <v>30107.599999999999</v>
      </c>
      <c r="G45">
        <f t="shared" si="0"/>
        <v>-1.3829111229028634E-2</v>
      </c>
    </row>
    <row r="46" spans="2:7" x14ac:dyDescent="0.3">
      <c r="B46" s="7">
        <v>45723</v>
      </c>
      <c r="C46">
        <f>_xlfn.IFNA(VLOOKUP(B46,Price_Data!A:B,2,FALSE),C45)</f>
        <v>239.07</v>
      </c>
      <c r="D46">
        <f>_xlfn.IFNA(VLOOKUP(B46,Price_Data!C:D,2,FALSE),D45)</f>
        <v>112.69</v>
      </c>
      <c r="E46">
        <f>_xlfn.IFNA(VLOOKUP(B46,Price_Data!E:F,2,FALSE),E45)</f>
        <v>393.31</v>
      </c>
      <c r="F46" s="9">
        <f>SUMPRODUCT(C46:E46,Portfolio_Input!$C$5:$E$5)</f>
        <v>30001.899999999998</v>
      </c>
      <c r="G46">
        <f t="shared" si="0"/>
        <v>-3.5107414739136145E-3</v>
      </c>
    </row>
    <row r="47" spans="2:7" x14ac:dyDescent="0.3">
      <c r="B47" s="7">
        <v>45726</v>
      </c>
      <c r="C47">
        <f>_xlfn.IFNA(VLOOKUP(B47,Price_Data!A:B,2,FALSE),C46)</f>
        <v>227.48</v>
      </c>
      <c r="D47">
        <f>_xlfn.IFNA(VLOOKUP(B47,Price_Data!C:D,2,FALSE),D46)</f>
        <v>106.98</v>
      </c>
      <c r="E47">
        <f>_xlfn.IFNA(VLOOKUP(B47,Price_Data!E:F,2,FALSE),E46)</f>
        <v>380.16</v>
      </c>
      <c r="F47" s="9">
        <f>SUMPRODUCT(C47:E47,Portfolio_Input!$C$5:$E$5)</f>
        <v>28896.300000000003</v>
      </c>
      <c r="G47">
        <f t="shared" si="0"/>
        <v>-3.6850999436702225E-2</v>
      </c>
    </row>
    <row r="48" spans="2:7" x14ac:dyDescent="0.3">
      <c r="B48" s="7">
        <v>45727</v>
      </c>
      <c r="C48">
        <f>_xlfn.IFNA(VLOOKUP(B48,Price_Data!A:B,2,FALSE),C47)</f>
        <v>220.84</v>
      </c>
      <c r="D48">
        <f>_xlfn.IFNA(VLOOKUP(B48,Price_Data!C:D,2,FALSE),D47)</f>
        <v>108.76</v>
      </c>
      <c r="E48">
        <f>_xlfn.IFNA(VLOOKUP(B48,Price_Data!E:F,2,FALSE),E47)</f>
        <v>380.45</v>
      </c>
      <c r="F48" s="9">
        <f>SUMPRODUCT(C48:E48,Portfolio_Input!$C$5:$E$5)</f>
        <v>28858.6</v>
      </c>
      <c r="G48">
        <f t="shared" si="0"/>
        <v>-1.3046653031704158E-3</v>
      </c>
    </row>
    <row r="49" spans="2:7" x14ac:dyDescent="0.3">
      <c r="B49" s="7">
        <v>45728</v>
      </c>
      <c r="C49">
        <f>_xlfn.IFNA(VLOOKUP(B49,Price_Data!A:B,2,FALSE),C48)</f>
        <v>216.98</v>
      </c>
      <c r="D49">
        <f>_xlfn.IFNA(VLOOKUP(B49,Price_Data!C:D,2,FALSE),D48)</f>
        <v>115.74</v>
      </c>
      <c r="E49">
        <f>_xlfn.IFNA(VLOOKUP(B49,Price_Data!E:F,2,FALSE),E48)</f>
        <v>383.27</v>
      </c>
      <c r="F49" s="9">
        <f>SUMPRODUCT(C49:E49,Portfolio_Input!$C$5:$E$5)</f>
        <v>29144.399999999998</v>
      </c>
      <c r="G49">
        <f t="shared" si="0"/>
        <v>9.9034603203205229E-3</v>
      </c>
    </row>
    <row r="50" spans="2:7" x14ac:dyDescent="0.3">
      <c r="B50" s="7">
        <v>45729</v>
      </c>
      <c r="C50">
        <f>_xlfn.IFNA(VLOOKUP(B50,Price_Data!A:B,2,FALSE),C49)</f>
        <v>209.68</v>
      </c>
      <c r="D50">
        <f>_xlfn.IFNA(VLOOKUP(B50,Price_Data!C:D,2,FALSE),D49)</f>
        <v>115.58</v>
      </c>
      <c r="E50">
        <f>_xlfn.IFNA(VLOOKUP(B50,Price_Data!E:F,2,FALSE),E49)</f>
        <v>378.77</v>
      </c>
      <c r="F50" s="9">
        <f>SUMPRODUCT(C50:E50,Portfolio_Input!$C$5:$E$5)</f>
        <v>28760.899999999998</v>
      </c>
      <c r="G50">
        <f t="shared" si="0"/>
        <v>-1.3158617092820624E-2</v>
      </c>
    </row>
    <row r="51" spans="2:7" x14ac:dyDescent="0.3">
      <c r="B51" s="7">
        <v>45730</v>
      </c>
      <c r="C51">
        <f>_xlfn.IFNA(VLOOKUP(B51,Price_Data!A:B,2,FALSE),C50)</f>
        <v>213.49</v>
      </c>
      <c r="D51">
        <f>_xlfn.IFNA(VLOOKUP(B51,Price_Data!C:D,2,FALSE),D50)</f>
        <v>121.67</v>
      </c>
      <c r="E51">
        <f>_xlfn.IFNA(VLOOKUP(B51,Price_Data!E:F,2,FALSE),E50)</f>
        <v>388.56</v>
      </c>
      <c r="F51" s="9">
        <f>SUMPRODUCT(C51:E51,Portfolio_Input!$C$5:$E$5)</f>
        <v>29557.699999999997</v>
      </c>
      <c r="G51">
        <f t="shared" si="0"/>
        <v>2.7704279073325289E-2</v>
      </c>
    </row>
    <row r="52" spans="2:7" x14ac:dyDescent="0.3">
      <c r="B52" s="7">
        <v>45733</v>
      </c>
      <c r="C52">
        <f>_xlfn.IFNA(VLOOKUP(B52,Price_Data!A:B,2,FALSE),C51)</f>
        <v>214</v>
      </c>
      <c r="D52">
        <f>_xlfn.IFNA(VLOOKUP(B52,Price_Data!C:D,2,FALSE),D51)</f>
        <v>119.53</v>
      </c>
      <c r="E52">
        <f>_xlfn.IFNA(VLOOKUP(B52,Price_Data!E:F,2,FALSE),E51)</f>
        <v>388.7</v>
      </c>
      <c r="F52" s="9">
        <f>SUMPRODUCT(C52:E52,Portfolio_Input!$C$5:$E$5)</f>
        <v>29520.25</v>
      </c>
      <c r="G52">
        <f t="shared" si="0"/>
        <v>-1.2670133332429723E-3</v>
      </c>
    </row>
    <row r="53" spans="2:7" x14ac:dyDescent="0.3">
      <c r="B53" s="7">
        <v>45734</v>
      </c>
      <c r="C53">
        <f>_xlfn.IFNA(VLOOKUP(B53,Price_Data!A:B,2,FALSE),C52)</f>
        <v>212.69</v>
      </c>
      <c r="D53">
        <f>_xlfn.IFNA(VLOOKUP(B53,Price_Data!C:D,2,FALSE),D52)</f>
        <v>115.43</v>
      </c>
      <c r="E53">
        <f>_xlfn.IFNA(VLOOKUP(B53,Price_Data!E:F,2,FALSE),E52)</f>
        <v>383.52</v>
      </c>
      <c r="F53" s="9">
        <f>SUMPRODUCT(C53:E53,Portfolio_Input!$C$5:$E$5)</f>
        <v>29087.299999999996</v>
      </c>
      <c r="G53">
        <f t="shared" si="0"/>
        <v>-1.4666203707624614E-2</v>
      </c>
    </row>
    <row r="54" spans="2:7" x14ac:dyDescent="0.3">
      <c r="B54" s="7">
        <v>45735</v>
      </c>
      <c r="C54">
        <f>_xlfn.IFNA(VLOOKUP(B54,Price_Data!A:B,2,FALSE),C53)</f>
        <v>215.24</v>
      </c>
      <c r="D54">
        <f>_xlfn.IFNA(VLOOKUP(B54,Price_Data!C:D,2,FALSE),D53)</f>
        <v>117.52</v>
      </c>
      <c r="E54">
        <f>_xlfn.IFNA(VLOOKUP(B54,Price_Data!E:F,2,FALSE),E53)</f>
        <v>387.82</v>
      </c>
      <c r="F54" s="9">
        <f>SUMPRODUCT(C54:E54,Portfolio_Input!$C$5:$E$5)</f>
        <v>29435.800000000003</v>
      </c>
      <c r="G54">
        <f t="shared" si="0"/>
        <v>1.198117391438891E-2</v>
      </c>
    </row>
    <row r="55" spans="2:7" x14ac:dyDescent="0.3">
      <c r="B55" s="7">
        <v>45736</v>
      </c>
      <c r="C55">
        <f>_xlfn.IFNA(VLOOKUP(B55,Price_Data!A:B,2,FALSE),C54)</f>
        <v>214.1</v>
      </c>
      <c r="D55">
        <f>_xlfn.IFNA(VLOOKUP(B55,Price_Data!C:D,2,FALSE),D54)</f>
        <v>118.53</v>
      </c>
      <c r="E55">
        <f>_xlfn.IFNA(VLOOKUP(B55,Price_Data!E:F,2,FALSE),E54)</f>
        <v>386.84</v>
      </c>
      <c r="F55" s="9">
        <f>SUMPRODUCT(C55:E55,Portfolio_Input!$C$5:$E$5)</f>
        <v>29385.149999999998</v>
      </c>
      <c r="G55">
        <f t="shared" si="0"/>
        <v>-1.7206938489867651E-3</v>
      </c>
    </row>
    <row r="56" spans="2:7" x14ac:dyDescent="0.3">
      <c r="B56" s="7">
        <v>45737</v>
      </c>
      <c r="C56">
        <f>_xlfn.IFNA(VLOOKUP(B56,Price_Data!A:B,2,FALSE),C55)</f>
        <v>218.27</v>
      </c>
      <c r="D56">
        <f>_xlfn.IFNA(VLOOKUP(B56,Price_Data!C:D,2,FALSE),D55)</f>
        <v>117.7</v>
      </c>
      <c r="E56">
        <f>_xlfn.IFNA(VLOOKUP(B56,Price_Data!E:F,2,FALSE),E55)</f>
        <v>391.26</v>
      </c>
      <c r="F56" s="9">
        <f>SUMPRODUCT(C56:E56,Portfolio_Input!$C$5:$E$5)</f>
        <v>29692.149999999998</v>
      </c>
      <c r="G56">
        <f t="shared" si="0"/>
        <v>1.0447453901035075E-2</v>
      </c>
    </row>
    <row r="57" spans="2:7" x14ac:dyDescent="0.3">
      <c r="B57" s="7">
        <v>45740</v>
      </c>
      <c r="C57">
        <f>_xlfn.IFNA(VLOOKUP(B57,Price_Data!A:B,2,FALSE),C56)</f>
        <v>220.73</v>
      </c>
      <c r="D57">
        <f>_xlfn.IFNA(VLOOKUP(B57,Price_Data!C:D,2,FALSE),D56)</f>
        <v>121.41</v>
      </c>
      <c r="E57">
        <f>_xlfn.IFNA(VLOOKUP(B57,Price_Data!E:F,2,FALSE),E56)</f>
        <v>393.08</v>
      </c>
      <c r="F57" s="9">
        <f>SUMPRODUCT(C57:E57,Portfolio_Input!$C$5:$E$5)</f>
        <v>29931</v>
      </c>
      <c r="G57">
        <f t="shared" si="0"/>
        <v>8.044213706316361E-3</v>
      </c>
    </row>
    <row r="58" spans="2:7" x14ac:dyDescent="0.3">
      <c r="B58" s="7">
        <v>45741</v>
      </c>
      <c r="C58">
        <f>_xlfn.IFNA(VLOOKUP(B58,Price_Data!A:B,2,FALSE),C57)</f>
        <v>223.75</v>
      </c>
      <c r="D58">
        <f>_xlfn.IFNA(VLOOKUP(B58,Price_Data!C:D,2,FALSE),D57)</f>
        <v>120.69</v>
      </c>
      <c r="E58">
        <f>_xlfn.IFNA(VLOOKUP(B58,Price_Data!E:F,2,FALSE),E57)</f>
        <v>395.16</v>
      </c>
      <c r="F58" s="9">
        <f>SUMPRODUCT(C58:E58,Portfolio_Input!$C$5:$E$5)</f>
        <v>30083.100000000002</v>
      </c>
      <c r="G58">
        <f t="shared" si="0"/>
        <v>5.0816878821289269E-3</v>
      </c>
    </row>
    <row r="59" spans="2:7" x14ac:dyDescent="0.3">
      <c r="B59" s="7">
        <v>45742</v>
      </c>
      <c r="C59">
        <f>_xlfn.IFNA(VLOOKUP(B59,Price_Data!A:B,2,FALSE),C58)</f>
        <v>221.53</v>
      </c>
      <c r="D59">
        <f>_xlfn.IFNA(VLOOKUP(B59,Price_Data!C:D,2,FALSE),D58)</f>
        <v>113.76</v>
      </c>
      <c r="E59">
        <f>_xlfn.IFNA(VLOOKUP(B59,Price_Data!E:F,2,FALSE),E58)</f>
        <v>389.97</v>
      </c>
      <c r="F59" s="9">
        <f>SUMPRODUCT(C59:E59,Portfolio_Input!$C$5:$E$5)</f>
        <v>29565.15</v>
      </c>
      <c r="G59">
        <f t="shared" si="0"/>
        <v>-1.7217308056682978E-2</v>
      </c>
    </row>
    <row r="60" spans="2:7" x14ac:dyDescent="0.3">
      <c r="B60" s="7">
        <v>45743</v>
      </c>
      <c r="C60">
        <f>_xlfn.IFNA(VLOOKUP(B60,Price_Data!A:B,2,FALSE),C59)</f>
        <v>223.85</v>
      </c>
      <c r="D60">
        <f>_xlfn.IFNA(VLOOKUP(B60,Price_Data!C:D,2,FALSE),D59)</f>
        <v>111.43</v>
      </c>
      <c r="E60">
        <f>_xlfn.IFNA(VLOOKUP(B60,Price_Data!E:F,2,FALSE),E59)</f>
        <v>390.58</v>
      </c>
      <c r="F60" s="9">
        <f>SUMPRODUCT(C60:E60,Portfolio_Input!$C$5:$E$5)</f>
        <v>29578.3</v>
      </c>
      <c r="G60">
        <f t="shared" si="0"/>
        <v>4.4478042560247566E-4</v>
      </c>
    </row>
    <row r="61" spans="2:7" x14ac:dyDescent="0.3">
      <c r="B61" s="7">
        <v>45744</v>
      </c>
      <c r="C61">
        <f>_xlfn.IFNA(VLOOKUP(B61,Price_Data!A:B,2,FALSE),C60)</f>
        <v>217.9</v>
      </c>
      <c r="D61">
        <f>_xlfn.IFNA(VLOOKUP(B61,Price_Data!C:D,2,FALSE),D60)</f>
        <v>109.67</v>
      </c>
      <c r="E61">
        <f>_xlfn.IFNA(VLOOKUP(B61,Price_Data!E:F,2,FALSE),E60)</f>
        <v>378.8</v>
      </c>
      <c r="F61" s="9">
        <f>SUMPRODUCT(C61:E61,Portfolio_Input!$C$5:$E$5)</f>
        <v>28738.25</v>
      </c>
      <c r="G61">
        <f t="shared" si="0"/>
        <v>-2.8400888489196419E-2</v>
      </c>
    </row>
    <row r="62" spans="2:7" x14ac:dyDescent="0.3">
      <c r="B62" s="7">
        <v>45747</v>
      </c>
      <c r="C62">
        <f>_xlfn.IFNA(VLOOKUP(B62,Price_Data!A:B,2,FALSE),C61)</f>
        <v>222.13</v>
      </c>
      <c r="D62">
        <f>_xlfn.IFNA(VLOOKUP(B62,Price_Data!C:D,2,FALSE),D61)</f>
        <v>108.38</v>
      </c>
      <c r="E62">
        <f>_xlfn.IFNA(VLOOKUP(B62,Price_Data!E:F,2,FALSE),E61)</f>
        <v>375.39</v>
      </c>
      <c r="F62" s="9">
        <f>SUMPRODUCT(C62:E62,Portfolio_Input!$C$5:$E$5)</f>
        <v>28564.85</v>
      </c>
      <c r="G62">
        <f t="shared" si="0"/>
        <v>-6.0337703235235907E-3</v>
      </c>
    </row>
    <row r="63" spans="2:7" x14ac:dyDescent="0.3">
      <c r="B63" s="7">
        <v>45748</v>
      </c>
      <c r="C63">
        <f>_xlfn.IFNA(VLOOKUP(B63,Price_Data!A:B,2,FALSE),C62)</f>
        <v>223.19</v>
      </c>
      <c r="D63">
        <f>_xlfn.IFNA(VLOOKUP(B63,Price_Data!C:D,2,FALSE),D62)</f>
        <v>110.15</v>
      </c>
      <c r="E63">
        <f>_xlfn.IFNA(VLOOKUP(B63,Price_Data!E:F,2,FALSE),E62)</f>
        <v>382.19</v>
      </c>
      <c r="F63" s="9">
        <f>SUMPRODUCT(C63:E63,Portfolio_Input!$C$5:$E$5)</f>
        <v>29033</v>
      </c>
      <c r="G63">
        <f t="shared" si="0"/>
        <v>1.6389023572677575E-2</v>
      </c>
    </row>
    <row r="64" spans="2:7" x14ac:dyDescent="0.3">
      <c r="B64" s="7">
        <v>45749</v>
      </c>
      <c r="C64">
        <f>_xlfn.IFNA(VLOOKUP(B64,Price_Data!A:B,2,FALSE),C63)</f>
        <v>223.89</v>
      </c>
      <c r="D64">
        <f>_xlfn.IFNA(VLOOKUP(B64,Price_Data!C:D,2,FALSE),D63)</f>
        <v>110.42</v>
      </c>
      <c r="E64">
        <f>_xlfn.IFNA(VLOOKUP(B64,Price_Data!E:F,2,FALSE),E63)</f>
        <v>382.14</v>
      </c>
      <c r="F64" s="9">
        <f>SUMPRODUCT(C64:E64,Portfolio_Input!$C$5:$E$5)</f>
        <v>29047.25</v>
      </c>
      <c r="G64">
        <f t="shared" si="0"/>
        <v>4.9082079013529345E-4</v>
      </c>
    </row>
    <row r="65" spans="2:7" x14ac:dyDescent="0.3">
      <c r="B65" s="7">
        <v>45750</v>
      </c>
      <c r="C65">
        <f>_xlfn.IFNA(VLOOKUP(B65,Price_Data!A:B,2,FALSE),C64)</f>
        <v>203.19</v>
      </c>
      <c r="D65">
        <f>_xlfn.IFNA(VLOOKUP(B65,Price_Data!C:D,2,FALSE),D64)</f>
        <v>101.8</v>
      </c>
      <c r="E65">
        <f>_xlfn.IFNA(VLOOKUP(B65,Price_Data!E:F,2,FALSE),E64)</f>
        <v>373.11</v>
      </c>
      <c r="F65" s="9">
        <f>SUMPRODUCT(C65:E65,Portfolio_Input!$C$5:$E$5)</f>
        <v>27979.450000000004</v>
      </c>
      <c r="G65">
        <f t="shared" si="0"/>
        <v>-3.6760794911738448E-2</v>
      </c>
    </row>
    <row r="66" spans="2:7" x14ac:dyDescent="0.3">
      <c r="B66" s="7">
        <v>45751</v>
      </c>
      <c r="C66">
        <f>_xlfn.IFNA(VLOOKUP(B66,Price_Data!A:B,2,FALSE),C65)</f>
        <v>188.38</v>
      </c>
      <c r="D66">
        <f>_xlfn.IFNA(VLOOKUP(B66,Price_Data!C:D,2,FALSE),D65)</f>
        <v>94.31</v>
      </c>
      <c r="E66">
        <f>_xlfn.IFNA(VLOOKUP(B66,Price_Data!E:F,2,FALSE),E65)</f>
        <v>359.84</v>
      </c>
      <c r="F66" s="9">
        <f>SUMPRODUCT(C66:E66,Portfolio_Input!$C$5:$E$5)</f>
        <v>26773.85</v>
      </c>
      <c r="G66">
        <f t="shared" si="0"/>
        <v>-4.3088766934303746E-2</v>
      </c>
    </row>
    <row r="67" spans="2:7" x14ac:dyDescent="0.3">
      <c r="B67" s="7">
        <v>45754</v>
      </c>
      <c r="C67">
        <f>_xlfn.IFNA(VLOOKUP(B67,Price_Data!A:B,2,FALSE),C66)</f>
        <v>181.46</v>
      </c>
      <c r="D67">
        <f>_xlfn.IFNA(VLOOKUP(B67,Price_Data!C:D,2,FALSE),D66)</f>
        <v>97.64</v>
      </c>
      <c r="E67">
        <f>_xlfn.IFNA(VLOOKUP(B67,Price_Data!E:F,2,FALSE),E66)</f>
        <v>357.86</v>
      </c>
      <c r="F67" s="9">
        <f>SUMPRODUCT(C67:E67,Portfolio_Input!$C$5:$E$5)</f>
        <v>26634.5</v>
      </c>
      <c r="G67">
        <f t="shared" si="0"/>
        <v>-5.2047053374840724E-3</v>
      </c>
    </row>
    <row r="68" spans="2:7" x14ac:dyDescent="0.3">
      <c r="B68" s="7">
        <v>45755</v>
      </c>
      <c r="C68">
        <f>_xlfn.IFNA(VLOOKUP(B68,Price_Data!A:B,2,FALSE),C67)</f>
        <v>172.42</v>
      </c>
      <c r="D68">
        <f>_xlfn.IFNA(VLOOKUP(B68,Price_Data!C:D,2,FALSE),D67)</f>
        <v>96.3</v>
      </c>
      <c r="E68">
        <f>_xlfn.IFNA(VLOOKUP(B68,Price_Data!E:F,2,FALSE),E67)</f>
        <v>354.56</v>
      </c>
      <c r="F68" s="9">
        <f>SUMPRODUCT(C68:E68,Portfolio_Input!$C$5:$E$5)</f>
        <v>26267.399999999998</v>
      </c>
      <c r="G68">
        <f t="shared" si="0"/>
        <v>-1.3782875593684962E-2</v>
      </c>
    </row>
    <row r="69" spans="2:7" x14ac:dyDescent="0.3">
      <c r="B69" s="7">
        <v>45756</v>
      </c>
      <c r="C69">
        <f>_xlfn.IFNA(VLOOKUP(B69,Price_Data!A:B,2,FALSE),C68)</f>
        <v>198.85</v>
      </c>
      <c r="D69">
        <f>_xlfn.IFNA(VLOOKUP(B69,Price_Data!C:D,2,FALSE),D68)</f>
        <v>114.33</v>
      </c>
      <c r="E69">
        <f>_xlfn.IFNA(VLOOKUP(B69,Price_Data!E:F,2,FALSE),E68)</f>
        <v>390.49</v>
      </c>
      <c r="F69" s="9">
        <f>SUMPRODUCT(C69:E69,Portfolio_Input!$C$5:$E$5)</f>
        <v>29270.400000000001</v>
      </c>
      <c r="G69">
        <f t="shared" ref="G69:G132" si="1">F69/F68-1</f>
        <v>0.11432421937458614</v>
      </c>
    </row>
    <row r="70" spans="2:7" x14ac:dyDescent="0.3">
      <c r="B70" s="7">
        <v>45757</v>
      </c>
      <c r="C70">
        <f>_xlfn.IFNA(VLOOKUP(B70,Price_Data!A:B,2,FALSE),C69)</f>
        <v>190.42</v>
      </c>
      <c r="D70">
        <f>_xlfn.IFNA(VLOOKUP(B70,Price_Data!C:D,2,FALSE),D69)</f>
        <v>107.57</v>
      </c>
      <c r="E70">
        <f>_xlfn.IFNA(VLOOKUP(B70,Price_Data!E:F,2,FALSE),E69)</f>
        <v>381.35</v>
      </c>
      <c r="F70" s="9">
        <f>SUMPRODUCT(C70:E70,Portfolio_Input!$C$5:$E$5)</f>
        <v>28426.55</v>
      </c>
      <c r="G70">
        <f t="shared" si="1"/>
        <v>-2.8829465945118704E-2</v>
      </c>
    </row>
    <row r="71" spans="2:7" x14ac:dyDescent="0.3">
      <c r="B71" s="7">
        <v>45758</v>
      </c>
      <c r="C71">
        <f>_xlfn.IFNA(VLOOKUP(B71,Price_Data!A:B,2,FALSE),C70)</f>
        <v>198.15</v>
      </c>
      <c r="D71">
        <f>_xlfn.IFNA(VLOOKUP(B71,Price_Data!C:D,2,FALSE),D70)</f>
        <v>110.93</v>
      </c>
      <c r="E71">
        <f>_xlfn.IFNA(VLOOKUP(B71,Price_Data!E:F,2,FALSE),E70)</f>
        <v>388.45</v>
      </c>
      <c r="F71" s="9">
        <f>SUMPRODUCT(C71:E71,Portfolio_Input!$C$5:$E$5)</f>
        <v>29052.5</v>
      </c>
      <c r="G71">
        <f t="shared" si="1"/>
        <v>2.2019907445680165E-2</v>
      </c>
    </row>
    <row r="72" spans="2:7" x14ac:dyDescent="0.3">
      <c r="B72" s="7">
        <v>45761</v>
      </c>
      <c r="C72">
        <f>_xlfn.IFNA(VLOOKUP(B72,Price_Data!A:B,2,FALSE),C71)</f>
        <v>202.52</v>
      </c>
      <c r="D72">
        <f>_xlfn.IFNA(VLOOKUP(B72,Price_Data!C:D,2,FALSE),D71)</f>
        <v>110.71</v>
      </c>
      <c r="E72">
        <f>_xlfn.IFNA(VLOOKUP(B72,Price_Data!E:F,2,FALSE),E71)</f>
        <v>387.81</v>
      </c>
      <c r="F72" s="9">
        <f>SUMPRODUCT(C72:E72,Portfolio_Input!$C$5:$E$5)</f>
        <v>29074.149999999998</v>
      </c>
      <c r="G72">
        <f t="shared" si="1"/>
        <v>7.4520265037425482E-4</v>
      </c>
    </row>
    <row r="73" spans="2:7" x14ac:dyDescent="0.3">
      <c r="B73" s="7">
        <v>45762</v>
      </c>
      <c r="C73">
        <f>_xlfn.IFNA(VLOOKUP(B73,Price_Data!A:B,2,FALSE),C72)</f>
        <v>202.14</v>
      </c>
      <c r="D73">
        <f>_xlfn.IFNA(VLOOKUP(B73,Price_Data!C:D,2,FALSE),D72)</f>
        <v>112.2</v>
      </c>
      <c r="E73">
        <f>_xlfn.IFNA(VLOOKUP(B73,Price_Data!E:F,2,FALSE),E72)</f>
        <v>385.73</v>
      </c>
      <c r="F73" s="9">
        <f>SUMPRODUCT(C73:E73,Portfolio_Input!$C$5:$E$5)</f>
        <v>28980.9</v>
      </c>
      <c r="G73">
        <f t="shared" si="1"/>
        <v>-3.207316464969634E-3</v>
      </c>
    </row>
    <row r="74" spans="2:7" x14ac:dyDescent="0.3">
      <c r="B74" s="7">
        <v>45763</v>
      </c>
      <c r="C74">
        <f>_xlfn.IFNA(VLOOKUP(B74,Price_Data!A:B,2,FALSE),C73)</f>
        <v>194.27</v>
      </c>
      <c r="D74">
        <f>_xlfn.IFNA(VLOOKUP(B74,Price_Data!C:D,2,FALSE),D73)</f>
        <v>104.49</v>
      </c>
      <c r="E74">
        <f>_xlfn.IFNA(VLOOKUP(B74,Price_Data!E:F,2,FALSE),E73)</f>
        <v>371.61</v>
      </c>
      <c r="F74" s="9">
        <f>SUMPRODUCT(C74:E74,Portfolio_Input!$C$5:$E$5)</f>
        <v>27822.9</v>
      </c>
      <c r="G74">
        <f t="shared" si="1"/>
        <v>-3.9957351220976545E-2</v>
      </c>
    </row>
    <row r="75" spans="2:7" x14ac:dyDescent="0.3">
      <c r="B75" s="7">
        <v>45764</v>
      </c>
      <c r="C75">
        <f>_xlfn.IFNA(VLOOKUP(B75,Price_Data!A:B,2,FALSE),C74)</f>
        <v>196.98</v>
      </c>
      <c r="D75">
        <f>_xlfn.IFNA(VLOOKUP(B75,Price_Data!C:D,2,FALSE),D74)</f>
        <v>101.49</v>
      </c>
      <c r="E75">
        <f>_xlfn.IFNA(VLOOKUP(B75,Price_Data!E:F,2,FALSE),E74)</f>
        <v>367.78</v>
      </c>
      <c r="F75" s="9">
        <f>SUMPRODUCT(C75:E75,Portfolio_Input!$C$5:$E$5)</f>
        <v>27558.75</v>
      </c>
      <c r="G75">
        <f t="shared" si="1"/>
        <v>-9.4939779821657799E-3</v>
      </c>
    </row>
    <row r="76" spans="2:7" x14ac:dyDescent="0.3">
      <c r="B76" s="7">
        <v>45768</v>
      </c>
      <c r="C76">
        <f>_xlfn.IFNA(VLOOKUP(B76,Price_Data!A:B,2,FALSE),C75)</f>
        <v>193.16</v>
      </c>
      <c r="D76">
        <f>_xlfn.IFNA(VLOOKUP(B76,Price_Data!C:D,2,FALSE),D75)</f>
        <v>96.91</v>
      </c>
      <c r="E76">
        <f>_xlfn.IFNA(VLOOKUP(B76,Price_Data!E:F,2,FALSE),E75)</f>
        <v>359.12</v>
      </c>
      <c r="F76" s="9">
        <f>SUMPRODUCT(C76:E76,Portfolio_Input!$C$5:$E$5)</f>
        <v>26867.35</v>
      </c>
      <c r="G76">
        <f t="shared" si="1"/>
        <v>-2.5088220619585488E-2</v>
      </c>
    </row>
    <row r="77" spans="2:7" x14ac:dyDescent="0.3">
      <c r="B77" s="7">
        <v>45769</v>
      </c>
      <c r="C77">
        <f>_xlfn.IFNA(VLOOKUP(B77,Price_Data!A:B,2,FALSE),C76)</f>
        <v>199.74</v>
      </c>
      <c r="D77">
        <f>_xlfn.IFNA(VLOOKUP(B77,Price_Data!C:D,2,FALSE),D76)</f>
        <v>98.89</v>
      </c>
      <c r="E77">
        <f>_xlfn.IFNA(VLOOKUP(B77,Price_Data!E:F,2,FALSE),E76)</f>
        <v>366.82</v>
      </c>
      <c r="F77" s="9">
        <f>SUMPRODUCT(C77:E77,Portfolio_Input!$C$5:$E$5)</f>
        <v>27477.550000000003</v>
      </c>
      <c r="G77">
        <f t="shared" si="1"/>
        <v>2.2711581157055072E-2</v>
      </c>
    </row>
    <row r="78" spans="2:7" x14ac:dyDescent="0.3">
      <c r="B78" s="7">
        <v>45770</v>
      </c>
      <c r="C78">
        <f>_xlfn.IFNA(VLOOKUP(B78,Price_Data!A:B,2,FALSE),C77)</f>
        <v>204.6</v>
      </c>
      <c r="D78">
        <f>_xlfn.IFNA(VLOOKUP(B78,Price_Data!C:D,2,FALSE),D77)</f>
        <v>102.71</v>
      </c>
      <c r="E78">
        <f>_xlfn.IFNA(VLOOKUP(B78,Price_Data!E:F,2,FALSE),E77)</f>
        <v>374.39</v>
      </c>
      <c r="F78" s="9">
        <f>SUMPRODUCT(C78:E78,Portfolio_Input!$C$5:$E$5)</f>
        <v>28100.149999999998</v>
      </c>
      <c r="G78">
        <f t="shared" si="1"/>
        <v>2.265849757347338E-2</v>
      </c>
    </row>
    <row r="79" spans="2:7" x14ac:dyDescent="0.3">
      <c r="B79" s="7">
        <v>45771</v>
      </c>
      <c r="C79">
        <f>_xlfn.IFNA(VLOOKUP(B79,Price_Data!A:B,2,FALSE),C78)</f>
        <v>208.37</v>
      </c>
      <c r="D79">
        <f>_xlfn.IFNA(VLOOKUP(B79,Price_Data!C:D,2,FALSE),D78)</f>
        <v>106.43</v>
      </c>
      <c r="E79">
        <f>_xlfn.IFNA(VLOOKUP(B79,Price_Data!E:F,2,FALSE),E78)</f>
        <v>387.3</v>
      </c>
      <c r="F79" s="9">
        <f>SUMPRODUCT(C79:E79,Portfolio_Input!$C$5:$E$5)</f>
        <v>29024.3</v>
      </c>
      <c r="G79">
        <f t="shared" si="1"/>
        <v>3.288772479862212E-2</v>
      </c>
    </row>
    <row r="80" spans="2:7" x14ac:dyDescent="0.3">
      <c r="B80" s="7">
        <v>45772</v>
      </c>
      <c r="C80">
        <f>_xlfn.IFNA(VLOOKUP(B80,Price_Data!A:B,2,FALSE),C79)</f>
        <v>209.28</v>
      </c>
      <c r="D80">
        <f>_xlfn.IFNA(VLOOKUP(B80,Price_Data!C:D,2,FALSE),D79)</f>
        <v>111.01</v>
      </c>
      <c r="E80">
        <f>_xlfn.IFNA(VLOOKUP(B80,Price_Data!E:F,2,FALSE),E79)</f>
        <v>391.85</v>
      </c>
      <c r="F80" s="9">
        <f>SUMPRODUCT(C80:E80,Portfolio_Input!$C$5:$E$5)</f>
        <v>29425.45</v>
      </c>
      <c r="G80">
        <f t="shared" si="1"/>
        <v>1.3821177427190356E-2</v>
      </c>
    </row>
    <row r="81" spans="2:7" x14ac:dyDescent="0.3">
      <c r="B81" s="7">
        <v>45775</v>
      </c>
      <c r="C81">
        <f>_xlfn.IFNA(VLOOKUP(B81,Price_Data!A:B,2,FALSE),C80)</f>
        <v>210.14</v>
      </c>
      <c r="D81">
        <f>_xlfn.IFNA(VLOOKUP(B81,Price_Data!C:D,2,FALSE),D80)</f>
        <v>108.73</v>
      </c>
      <c r="E81">
        <f>_xlfn.IFNA(VLOOKUP(B81,Price_Data!E:F,2,FALSE),E80)</f>
        <v>391.16</v>
      </c>
      <c r="F81" s="9">
        <f>SUMPRODUCT(C81:E81,Portfolio_Input!$C$5:$E$5)</f>
        <v>29339.950000000004</v>
      </c>
      <c r="G81">
        <f t="shared" si="1"/>
        <v>-2.9056480019845621E-3</v>
      </c>
    </row>
    <row r="82" spans="2:7" x14ac:dyDescent="0.3">
      <c r="B82" s="7">
        <v>45776</v>
      </c>
      <c r="C82">
        <f>_xlfn.IFNA(VLOOKUP(B82,Price_Data!A:B,2,FALSE),C81)</f>
        <v>211.21</v>
      </c>
      <c r="D82">
        <f>_xlfn.IFNA(VLOOKUP(B82,Price_Data!C:D,2,FALSE),D81)</f>
        <v>109.02</v>
      </c>
      <c r="E82">
        <f>_xlfn.IFNA(VLOOKUP(B82,Price_Data!E:F,2,FALSE),E81)</f>
        <v>394.04</v>
      </c>
      <c r="F82" s="9">
        <f>SUMPRODUCT(C82:E82,Portfolio_Input!$C$5:$E$5)</f>
        <v>29536.050000000003</v>
      </c>
      <c r="G82">
        <f t="shared" si="1"/>
        <v>6.6837196382405484E-3</v>
      </c>
    </row>
    <row r="83" spans="2:7" x14ac:dyDescent="0.3">
      <c r="B83" s="7">
        <v>45777</v>
      </c>
      <c r="C83">
        <f>_xlfn.IFNA(VLOOKUP(B83,Price_Data!A:B,2,FALSE),C82)</f>
        <v>212.5</v>
      </c>
      <c r="D83">
        <f>_xlfn.IFNA(VLOOKUP(B83,Price_Data!C:D,2,FALSE),D82)</f>
        <v>108.92</v>
      </c>
      <c r="E83">
        <f>_xlfn.IFNA(VLOOKUP(B83,Price_Data!E:F,2,FALSE),E82)</f>
        <v>395.26</v>
      </c>
      <c r="F83" s="9">
        <f>SUMPRODUCT(C83:E83,Portfolio_Input!$C$5:$E$5)</f>
        <v>29626.1</v>
      </c>
      <c r="G83">
        <f t="shared" si="1"/>
        <v>3.0488166156272811E-3</v>
      </c>
    </row>
    <row r="84" spans="2:7" x14ac:dyDescent="0.3">
      <c r="B84" s="7">
        <v>45778</v>
      </c>
      <c r="C84">
        <f>_xlfn.IFNA(VLOOKUP(B84,Price_Data!A:B,2,FALSE),C83)</f>
        <v>213.32</v>
      </c>
      <c r="D84">
        <f>_xlfn.IFNA(VLOOKUP(B84,Price_Data!C:D,2,FALSE),D83)</f>
        <v>111.61</v>
      </c>
      <c r="E84">
        <f>_xlfn.IFNA(VLOOKUP(B84,Price_Data!E:F,2,FALSE),E83)</f>
        <v>425.4</v>
      </c>
      <c r="F84" s="9">
        <f>SUMPRODUCT(C84:E84,Portfolio_Input!$C$5:$E$5)</f>
        <v>31514.05</v>
      </c>
      <c r="G84">
        <f t="shared" si="1"/>
        <v>6.3725903848296017E-2</v>
      </c>
    </row>
    <row r="85" spans="2:7" x14ac:dyDescent="0.3">
      <c r="B85" s="7">
        <v>45779</v>
      </c>
      <c r="C85">
        <f>_xlfn.IFNA(VLOOKUP(B85,Price_Data!A:B,2,FALSE),C84)</f>
        <v>205.35</v>
      </c>
      <c r="D85">
        <f>_xlfn.IFNA(VLOOKUP(B85,Price_Data!C:D,2,FALSE),D84)</f>
        <v>114.5</v>
      </c>
      <c r="E85">
        <f>_xlfn.IFNA(VLOOKUP(B85,Price_Data!E:F,2,FALSE),E84)</f>
        <v>435.28</v>
      </c>
      <c r="F85" s="9">
        <f>SUMPRODUCT(C85:E85,Portfolio_Input!$C$5:$E$5)</f>
        <v>32059.55</v>
      </c>
      <c r="G85">
        <f t="shared" si="1"/>
        <v>1.7309739624072451E-2</v>
      </c>
    </row>
    <row r="86" spans="2:7" x14ac:dyDescent="0.3">
      <c r="B86" s="7">
        <v>45782</v>
      </c>
      <c r="C86">
        <f>_xlfn.IFNA(VLOOKUP(B86,Price_Data!A:B,2,FALSE),C85)</f>
        <v>198.89</v>
      </c>
      <c r="D86">
        <f>_xlfn.IFNA(VLOOKUP(B86,Price_Data!C:D,2,FALSE),D85)</f>
        <v>113.82</v>
      </c>
      <c r="E86">
        <f>_xlfn.IFNA(VLOOKUP(B86,Price_Data!E:F,2,FALSE),E85)</f>
        <v>436.17</v>
      </c>
      <c r="F86" s="9">
        <f>SUMPRODUCT(C86:E86,Portfolio_Input!$C$5:$E$5)</f>
        <v>31999.050000000003</v>
      </c>
      <c r="G86">
        <f t="shared" si="1"/>
        <v>-1.8871132002787894E-3</v>
      </c>
    </row>
    <row r="87" spans="2:7" x14ac:dyDescent="0.3">
      <c r="B87" s="7">
        <v>45783</v>
      </c>
      <c r="C87">
        <f>_xlfn.IFNA(VLOOKUP(B87,Price_Data!A:B,2,FALSE),C86)</f>
        <v>198.51</v>
      </c>
      <c r="D87">
        <f>_xlfn.IFNA(VLOOKUP(B87,Price_Data!C:D,2,FALSE),D86)</f>
        <v>113.54</v>
      </c>
      <c r="E87">
        <f>_xlfn.IFNA(VLOOKUP(B87,Price_Data!E:F,2,FALSE),E86)</f>
        <v>433.31</v>
      </c>
      <c r="F87" s="9">
        <f>SUMPRODUCT(C87:E87,Portfolio_Input!$C$5:$E$5)</f>
        <v>31814.75</v>
      </c>
      <c r="G87">
        <f t="shared" si="1"/>
        <v>-5.7595459865216192E-3</v>
      </c>
    </row>
    <row r="88" spans="2:7" x14ac:dyDescent="0.3">
      <c r="B88" s="7">
        <v>45784</v>
      </c>
      <c r="C88">
        <f>_xlfn.IFNA(VLOOKUP(B88,Price_Data!A:B,2,FALSE),C87)</f>
        <v>196.25</v>
      </c>
      <c r="D88">
        <f>_xlfn.IFNA(VLOOKUP(B88,Price_Data!C:D,2,FALSE),D87)</f>
        <v>117.06</v>
      </c>
      <c r="E88">
        <f>_xlfn.IFNA(VLOOKUP(B88,Price_Data!E:F,2,FALSE),E87)</f>
        <v>433.35</v>
      </c>
      <c r="F88" s="9">
        <f>SUMPRODUCT(C88:E88,Portfolio_Input!$C$5:$E$5)</f>
        <v>31871.25</v>
      </c>
      <c r="G88">
        <f t="shared" si="1"/>
        <v>1.7759058298429942E-3</v>
      </c>
    </row>
    <row r="89" spans="2:7" x14ac:dyDescent="0.3">
      <c r="B89" s="7">
        <v>45785</v>
      </c>
      <c r="C89">
        <f>_xlfn.IFNA(VLOOKUP(B89,Price_Data!A:B,2,FALSE),C88)</f>
        <v>197.49</v>
      </c>
      <c r="D89">
        <f>_xlfn.IFNA(VLOOKUP(B89,Price_Data!C:D,2,FALSE),D88)</f>
        <v>117.37</v>
      </c>
      <c r="E89">
        <f>_xlfn.IFNA(VLOOKUP(B89,Price_Data!E:F,2,FALSE),E88)</f>
        <v>438.17</v>
      </c>
      <c r="F89" s="9">
        <f>SUMPRODUCT(C89:E89,Portfolio_Input!$C$5:$E$5)</f>
        <v>32186.800000000003</v>
      </c>
      <c r="G89">
        <f t="shared" si="1"/>
        <v>9.9007726399185092E-3</v>
      </c>
    </row>
    <row r="90" spans="2:7" x14ac:dyDescent="0.3">
      <c r="B90" s="7">
        <v>45786</v>
      </c>
      <c r="C90">
        <f>_xlfn.IFNA(VLOOKUP(B90,Price_Data!A:B,2,FALSE),C89)</f>
        <v>198.53</v>
      </c>
      <c r="D90">
        <f>_xlfn.IFNA(VLOOKUP(B90,Price_Data!C:D,2,FALSE),D89)</f>
        <v>116.65</v>
      </c>
      <c r="E90">
        <f>_xlfn.IFNA(VLOOKUP(B90,Price_Data!E:F,2,FALSE),E89)</f>
        <v>438.73</v>
      </c>
      <c r="F90" s="9">
        <f>SUMPRODUCT(C90:E90,Portfolio_Input!$C$5:$E$5)</f>
        <v>32218.000000000004</v>
      </c>
      <c r="G90">
        <f t="shared" si="1"/>
        <v>9.6934146917382336E-4</v>
      </c>
    </row>
    <row r="91" spans="2:7" x14ac:dyDescent="0.3">
      <c r="B91" s="7">
        <v>45789</v>
      </c>
      <c r="C91">
        <f>_xlfn.IFNA(VLOOKUP(B91,Price_Data!A:B,2,FALSE),C90)</f>
        <v>210.79</v>
      </c>
      <c r="D91">
        <f>_xlfn.IFNA(VLOOKUP(B91,Price_Data!C:D,2,FALSE),D90)</f>
        <v>123</v>
      </c>
      <c r="E91">
        <f>_xlfn.IFNA(VLOOKUP(B91,Price_Data!E:F,2,FALSE),E90)</f>
        <v>449.26</v>
      </c>
      <c r="F91" s="9">
        <f>SUMPRODUCT(C91:E91,Portfolio_Input!$C$5:$E$5)</f>
        <v>33192.449999999997</v>
      </c>
      <c r="G91">
        <f t="shared" si="1"/>
        <v>3.0245514929542194E-2</v>
      </c>
    </row>
    <row r="92" spans="2:7" x14ac:dyDescent="0.3">
      <c r="B92" s="7">
        <v>45790</v>
      </c>
      <c r="C92">
        <f>_xlfn.IFNA(VLOOKUP(B92,Price_Data!A:B,2,FALSE),C91)</f>
        <v>212.93</v>
      </c>
      <c r="D92">
        <f>_xlfn.IFNA(VLOOKUP(B92,Price_Data!C:D,2,FALSE),D91)</f>
        <v>129.93</v>
      </c>
      <c r="E92">
        <f>_xlfn.IFNA(VLOOKUP(B92,Price_Data!E:F,2,FALSE),E91)</f>
        <v>449.14</v>
      </c>
      <c r="F92" s="9">
        <f>SUMPRODUCT(C92:E92,Portfolio_Input!$C$5:$E$5)</f>
        <v>33390.6</v>
      </c>
      <c r="G92">
        <f t="shared" si="1"/>
        <v>5.9697310683604066E-3</v>
      </c>
    </row>
    <row r="93" spans="2:7" x14ac:dyDescent="0.3">
      <c r="B93" s="7">
        <v>45791</v>
      </c>
      <c r="C93">
        <f>_xlfn.IFNA(VLOOKUP(B93,Price_Data!A:B,2,FALSE),C92)</f>
        <v>212.33</v>
      </c>
      <c r="D93">
        <f>_xlfn.IFNA(VLOOKUP(B93,Price_Data!C:D,2,FALSE),D92)</f>
        <v>135.34</v>
      </c>
      <c r="E93">
        <f>_xlfn.IFNA(VLOOKUP(B93,Price_Data!E:F,2,FALSE),E92)</f>
        <v>452.94</v>
      </c>
      <c r="F93" s="9">
        <f>SUMPRODUCT(C93:E93,Portfolio_Input!$C$5:$E$5)</f>
        <v>33744.850000000006</v>
      </c>
      <c r="G93">
        <f t="shared" si="1"/>
        <v>1.0609273268524788E-2</v>
      </c>
    </row>
    <row r="94" spans="2:7" x14ac:dyDescent="0.3">
      <c r="B94" s="7">
        <v>45792</v>
      </c>
      <c r="C94">
        <f>_xlfn.IFNA(VLOOKUP(B94,Price_Data!A:B,2,FALSE),C93)</f>
        <v>211.45</v>
      </c>
      <c r="D94">
        <f>_xlfn.IFNA(VLOOKUP(B94,Price_Data!C:D,2,FALSE),D93)</f>
        <v>134.83000000000001</v>
      </c>
      <c r="E94">
        <f>_xlfn.IFNA(VLOOKUP(B94,Price_Data!E:F,2,FALSE),E93)</f>
        <v>453.13</v>
      </c>
      <c r="F94" s="9">
        <f>SUMPRODUCT(C94:E94,Portfolio_Input!$C$5:$E$5)</f>
        <v>33730.300000000003</v>
      </c>
      <c r="G94">
        <f t="shared" si="1"/>
        <v>-4.3117690551308652E-4</v>
      </c>
    </row>
    <row r="95" spans="2:7" x14ac:dyDescent="0.3">
      <c r="B95" s="7">
        <v>45793</v>
      </c>
      <c r="C95">
        <f>_xlfn.IFNA(VLOOKUP(B95,Price_Data!A:B,2,FALSE),C94)</f>
        <v>211.26</v>
      </c>
      <c r="D95">
        <f>_xlfn.IFNA(VLOOKUP(B95,Price_Data!C:D,2,FALSE),D94)</f>
        <v>135.4</v>
      </c>
      <c r="E95">
        <f>_xlfn.IFNA(VLOOKUP(B95,Price_Data!E:F,2,FALSE),E94)</f>
        <v>454.27</v>
      </c>
      <c r="F95" s="9">
        <f>SUMPRODUCT(C95:E95,Portfolio_Input!$C$5:$E$5)</f>
        <v>33810.1</v>
      </c>
      <c r="G95">
        <f t="shared" si="1"/>
        <v>2.3658253854841327E-3</v>
      </c>
    </row>
    <row r="96" spans="2:7" x14ac:dyDescent="0.3">
      <c r="B96" s="7">
        <v>45796</v>
      </c>
      <c r="C96">
        <f>_xlfn.IFNA(VLOOKUP(B96,Price_Data!A:B,2,FALSE),C95)</f>
        <v>208.78</v>
      </c>
      <c r="D96">
        <f>_xlfn.IFNA(VLOOKUP(B96,Price_Data!C:D,2,FALSE),D95)</f>
        <v>135.57</v>
      </c>
      <c r="E96">
        <f>_xlfn.IFNA(VLOOKUP(B96,Price_Data!E:F,2,FALSE),E95)</f>
        <v>458.87</v>
      </c>
      <c r="F96" s="9">
        <f>SUMPRODUCT(C96:E96,Portfolio_Input!$C$5:$E$5)</f>
        <v>34053.15</v>
      </c>
      <c r="G96">
        <f t="shared" si="1"/>
        <v>7.1886803055891679E-3</v>
      </c>
    </row>
    <row r="97" spans="2:7" x14ac:dyDescent="0.3">
      <c r="B97" s="7">
        <v>45797</v>
      </c>
      <c r="C97">
        <f>_xlfn.IFNA(VLOOKUP(B97,Price_Data!A:B,2,FALSE),C96)</f>
        <v>206.86</v>
      </c>
      <c r="D97">
        <f>_xlfn.IFNA(VLOOKUP(B97,Price_Data!C:D,2,FALSE),D96)</f>
        <v>134.38</v>
      </c>
      <c r="E97">
        <f>_xlfn.IFNA(VLOOKUP(B97,Price_Data!E:F,2,FALSE),E96)</f>
        <v>458.17</v>
      </c>
      <c r="F97" s="9">
        <f>SUMPRODUCT(C97:E97,Portfolio_Input!$C$5:$E$5)</f>
        <v>33952.6</v>
      </c>
      <c r="G97">
        <f t="shared" si="1"/>
        <v>-2.9527371182990203E-3</v>
      </c>
    </row>
    <row r="98" spans="2:7" x14ac:dyDescent="0.3">
      <c r="B98" s="7">
        <v>45798</v>
      </c>
      <c r="C98">
        <f>_xlfn.IFNA(VLOOKUP(B98,Price_Data!A:B,2,FALSE),C97)</f>
        <v>202.09</v>
      </c>
      <c r="D98">
        <f>_xlfn.IFNA(VLOOKUP(B98,Price_Data!C:D,2,FALSE),D97)</f>
        <v>131.80000000000001</v>
      </c>
      <c r="E98">
        <f>_xlfn.IFNA(VLOOKUP(B98,Price_Data!E:F,2,FALSE),E97)</f>
        <v>452.57</v>
      </c>
      <c r="F98" s="9">
        <f>SUMPRODUCT(C98:E98,Portfolio_Input!$C$5:$E$5)</f>
        <v>33480.550000000003</v>
      </c>
      <c r="G98">
        <f t="shared" si="1"/>
        <v>-1.3903206234573973E-2</v>
      </c>
    </row>
    <row r="99" spans="2:7" x14ac:dyDescent="0.3">
      <c r="B99" s="7">
        <v>45799</v>
      </c>
      <c r="C99">
        <f>_xlfn.IFNA(VLOOKUP(B99,Price_Data!A:B,2,FALSE),C98)</f>
        <v>202.09</v>
      </c>
      <c r="D99">
        <f>_xlfn.IFNA(VLOOKUP(B99,Price_Data!C:D,2,FALSE),D98)</f>
        <v>131.80000000000001</v>
      </c>
      <c r="E99">
        <f>_xlfn.IFNA(VLOOKUP(B99,Price_Data!E:F,2,FALSE),E98)</f>
        <v>454.86</v>
      </c>
      <c r="F99" s="9">
        <f>SUMPRODUCT(C99:E99,Portfolio_Input!$C$5:$E$5)</f>
        <v>33617.950000000004</v>
      </c>
      <c r="G99">
        <f t="shared" si="1"/>
        <v>4.1038752350246455E-3</v>
      </c>
    </row>
    <row r="100" spans="2:7" x14ac:dyDescent="0.3">
      <c r="B100" s="7">
        <v>45800</v>
      </c>
      <c r="C100">
        <f>_xlfn.IFNA(VLOOKUP(B100,Price_Data!A:B,2,FALSE),C99)</f>
        <v>195.27</v>
      </c>
      <c r="D100">
        <f>_xlfn.IFNA(VLOOKUP(B100,Price_Data!C:D,2,FALSE),D99)</f>
        <v>131.29</v>
      </c>
      <c r="E100">
        <f>_xlfn.IFNA(VLOOKUP(B100,Price_Data!E:F,2,FALSE),E99)</f>
        <v>450.18</v>
      </c>
      <c r="F100" s="9">
        <f>SUMPRODUCT(C100:E100,Portfolio_Input!$C$5:$E$5)</f>
        <v>33222.1</v>
      </c>
      <c r="G100">
        <f t="shared" si="1"/>
        <v>-1.1774959508239036E-2</v>
      </c>
    </row>
    <row r="101" spans="2:7" x14ac:dyDescent="0.3">
      <c r="B101" s="7">
        <v>45804</v>
      </c>
      <c r="C101">
        <f>_xlfn.IFNA(VLOOKUP(B101,Price_Data!A:B,2,FALSE),C100)</f>
        <v>200.21</v>
      </c>
      <c r="D101">
        <f>_xlfn.IFNA(VLOOKUP(B101,Price_Data!C:D,2,FALSE),D100)</f>
        <v>135.5</v>
      </c>
      <c r="E101">
        <f>_xlfn.IFNA(VLOOKUP(B101,Price_Data!E:F,2,FALSE),E100)</f>
        <v>460.69</v>
      </c>
      <c r="F101" s="9">
        <f>SUMPRODUCT(C101:E101,Portfolio_Input!$C$5:$E$5)</f>
        <v>34032.050000000003</v>
      </c>
      <c r="G101">
        <f t="shared" si="1"/>
        <v>2.4379855578064102E-2</v>
      </c>
    </row>
    <row r="102" spans="2:7" x14ac:dyDescent="0.3">
      <c r="B102" s="7">
        <v>45805</v>
      </c>
      <c r="C102">
        <f>_xlfn.IFNA(VLOOKUP(B102,Price_Data!A:B,2,FALSE),C101)</f>
        <v>200.42</v>
      </c>
      <c r="D102">
        <f>_xlfn.IFNA(VLOOKUP(B102,Price_Data!C:D,2,FALSE),D101)</f>
        <v>134.81</v>
      </c>
      <c r="E102">
        <f>_xlfn.IFNA(VLOOKUP(B102,Price_Data!E:F,2,FALSE),E101)</f>
        <v>457.36</v>
      </c>
      <c r="F102" s="9">
        <f>SUMPRODUCT(C102:E102,Portfolio_Input!$C$5:$E$5)</f>
        <v>33818.15</v>
      </c>
      <c r="G102">
        <f t="shared" si="1"/>
        <v>-6.2852516965625771E-3</v>
      </c>
    </row>
    <row r="103" spans="2:7" x14ac:dyDescent="0.3">
      <c r="B103" s="7">
        <v>45806</v>
      </c>
      <c r="C103">
        <f>_xlfn.IFNA(VLOOKUP(B103,Price_Data!A:B,2,FALSE),C102)</f>
        <v>199.95</v>
      </c>
      <c r="D103">
        <f>_xlfn.IFNA(VLOOKUP(B103,Price_Data!C:D,2,FALSE),D102)</f>
        <v>139.19</v>
      </c>
      <c r="E103">
        <f>_xlfn.IFNA(VLOOKUP(B103,Price_Data!E:F,2,FALSE),E102)</f>
        <v>458.68</v>
      </c>
      <c r="F103" s="9">
        <f>SUMPRODUCT(C103:E103,Portfolio_Input!$C$5:$E$5)</f>
        <v>33999.800000000003</v>
      </c>
      <c r="G103">
        <f t="shared" si="1"/>
        <v>5.3713760214559869E-3</v>
      </c>
    </row>
    <row r="104" spans="2:7" x14ac:dyDescent="0.3">
      <c r="B104" s="7">
        <v>45807</v>
      </c>
      <c r="C104">
        <f>_xlfn.IFNA(VLOOKUP(B104,Price_Data!A:B,2,FALSE),C103)</f>
        <v>200.85</v>
      </c>
      <c r="D104">
        <f>_xlfn.IFNA(VLOOKUP(B104,Price_Data!C:D,2,FALSE),D103)</f>
        <v>135.13</v>
      </c>
      <c r="E104">
        <f>_xlfn.IFNA(VLOOKUP(B104,Price_Data!E:F,2,FALSE),E103)</f>
        <v>460.36</v>
      </c>
      <c r="F104" s="9">
        <f>SUMPRODUCT(C104:E104,Portfolio_Input!$C$5:$E$5)</f>
        <v>34012.600000000006</v>
      </c>
      <c r="G104">
        <f t="shared" si="1"/>
        <v>3.7647280278130246E-4</v>
      </c>
    </row>
    <row r="105" spans="2:7" x14ac:dyDescent="0.3">
      <c r="B105" s="7">
        <v>45810</v>
      </c>
      <c r="C105">
        <f>_xlfn.IFNA(VLOOKUP(B105,Price_Data!A:B,2,FALSE),C104)</f>
        <v>201.7</v>
      </c>
      <c r="D105">
        <f>_xlfn.IFNA(VLOOKUP(B105,Price_Data!C:D,2,FALSE),D104)</f>
        <v>137.38</v>
      </c>
      <c r="E105">
        <f>_xlfn.IFNA(VLOOKUP(B105,Price_Data!E:F,2,FALSE),E104)</f>
        <v>461.97</v>
      </c>
      <c r="F105" s="9">
        <f>SUMPRODUCT(C105:E105,Portfolio_Input!$C$5:$E$5)</f>
        <v>34178.199999999997</v>
      </c>
      <c r="G105">
        <f t="shared" si="1"/>
        <v>4.8687839212524509E-3</v>
      </c>
    </row>
    <row r="106" spans="2:7" x14ac:dyDescent="0.3">
      <c r="B106" s="7">
        <v>45811</v>
      </c>
      <c r="C106">
        <f>_xlfn.IFNA(VLOOKUP(B106,Price_Data!A:B,2,FALSE),C105)</f>
        <v>203.27</v>
      </c>
      <c r="D106">
        <f>_xlfn.IFNA(VLOOKUP(B106,Price_Data!C:D,2,FALSE),D105)</f>
        <v>141.22</v>
      </c>
      <c r="E106">
        <f>_xlfn.IFNA(VLOOKUP(B106,Price_Data!E:F,2,FALSE),E105)</f>
        <v>462.97</v>
      </c>
      <c r="F106" s="9">
        <f>SUMPRODUCT(C106:E106,Portfolio_Input!$C$5:$E$5)</f>
        <v>34357.75</v>
      </c>
      <c r="G106">
        <f t="shared" si="1"/>
        <v>5.2533486257322348E-3</v>
      </c>
    </row>
    <row r="107" spans="2:7" x14ac:dyDescent="0.3">
      <c r="B107" s="7">
        <v>45812</v>
      </c>
      <c r="C107">
        <f>_xlfn.IFNA(VLOOKUP(B107,Price_Data!A:B,2,FALSE),C106)</f>
        <v>202.82</v>
      </c>
      <c r="D107">
        <f>_xlfn.IFNA(VLOOKUP(B107,Price_Data!C:D,2,FALSE),D106)</f>
        <v>141.91999999999999</v>
      </c>
      <c r="E107">
        <f>_xlfn.IFNA(VLOOKUP(B107,Price_Data!E:F,2,FALSE),E106)</f>
        <v>463.87</v>
      </c>
      <c r="F107" s="9">
        <f>SUMPRODUCT(C107:E107,Portfolio_Input!$C$5:$E$5)</f>
        <v>34422.5</v>
      </c>
      <c r="G107">
        <f t="shared" si="1"/>
        <v>1.8845820811899117E-3</v>
      </c>
    </row>
    <row r="108" spans="2:7" x14ac:dyDescent="0.3">
      <c r="B108" s="7">
        <v>45813</v>
      </c>
      <c r="C108">
        <f>_xlfn.IFNA(VLOOKUP(B108,Price_Data!A:B,2,FALSE),C107)</f>
        <v>200.63</v>
      </c>
      <c r="D108">
        <f>_xlfn.IFNA(VLOOKUP(B108,Price_Data!C:D,2,FALSE),D107)</f>
        <v>139.99</v>
      </c>
      <c r="E108">
        <f>_xlfn.IFNA(VLOOKUP(B108,Price_Data!E:F,2,FALSE),E107)</f>
        <v>467.68</v>
      </c>
      <c r="F108" s="9">
        <f>SUMPRODUCT(C108:E108,Portfolio_Input!$C$5:$E$5)</f>
        <v>34570</v>
      </c>
      <c r="G108">
        <f t="shared" si="1"/>
        <v>4.284988016558966E-3</v>
      </c>
    </row>
    <row r="109" spans="2:7" x14ac:dyDescent="0.3">
      <c r="B109" s="7">
        <v>45814</v>
      </c>
      <c r="C109">
        <f>_xlfn.IFNA(VLOOKUP(B109,Price_Data!A:B,2,FALSE),C108)</f>
        <v>203.92</v>
      </c>
      <c r="D109">
        <f>_xlfn.IFNA(VLOOKUP(B109,Price_Data!C:D,2,FALSE),D108)</f>
        <v>141.72</v>
      </c>
      <c r="E109">
        <f>_xlfn.IFNA(VLOOKUP(B109,Price_Data!E:F,2,FALSE),E108)</f>
        <v>470.38</v>
      </c>
      <c r="F109" s="9">
        <f>SUMPRODUCT(C109:E109,Portfolio_Input!$C$5:$E$5)</f>
        <v>34824.6</v>
      </c>
      <c r="G109">
        <f t="shared" si="1"/>
        <v>7.3647671391379177E-3</v>
      </c>
    </row>
    <row r="110" spans="2:7" x14ac:dyDescent="0.3">
      <c r="B110" s="7">
        <v>45817</v>
      </c>
      <c r="C110">
        <f>_xlfn.IFNA(VLOOKUP(B110,Price_Data!A:B,2,FALSE),C109)</f>
        <v>201.45</v>
      </c>
      <c r="D110">
        <f>_xlfn.IFNA(VLOOKUP(B110,Price_Data!C:D,2,FALSE),D109)</f>
        <v>142.63</v>
      </c>
      <c r="E110">
        <f>_xlfn.IFNA(VLOOKUP(B110,Price_Data!E:F,2,FALSE),E109)</f>
        <v>472.75</v>
      </c>
      <c r="F110" s="9">
        <f>SUMPRODUCT(C110:E110,Portfolio_Input!$C$5:$E$5)</f>
        <v>34952.5</v>
      </c>
      <c r="G110">
        <f t="shared" si="1"/>
        <v>3.6726911436169019E-3</v>
      </c>
    </row>
    <row r="111" spans="2:7" x14ac:dyDescent="0.3">
      <c r="B111" s="7">
        <v>45818</v>
      </c>
      <c r="C111">
        <f>_xlfn.IFNA(VLOOKUP(B111,Price_Data!A:B,2,FALSE),C110)</f>
        <v>202.67</v>
      </c>
      <c r="D111">
        <f>_xlfn.IFNA(VLOOKUP(B111,Price_Data!C:D,2,FALSE),D110)</f>
        <v>143.96</v>
      </c>
      <c r="E111">
        <f>_xlfn.IFNA(VLOOKUP(B111,Price_Data!E:F,2,FALSE),E110)</f>
        <v>470.92</v>
      </c>
      <c r="F111" s="9">
        <f>SUMPRODUCT(C111:E111,Portfolio_Input!$C$5:$E$5)</f>
        <v>34894.25</v>
      </c>
      <c r="G111">
        <f t="shared" si="1"/>
        <v>-1.6665474572634675E-3</v>
      </c>
    </row>
    <row r="112" spans="2:7" x14ac:dyDescent="0.3">
      <c r="B112" s="7">
        <v>45819</v>
      </c>
      <c r="C112">
        <f>_xlfn.IFNA(VLOOKUP(B112,Price_Data!A:B,2,FALSE),C111)</f>
        <v>198.78</v>
      </c>
      <c r="D112">
        <f>_xlfn.IFNA(VLOOKUP(B112,Price_Data!C:D,2,FALSE),D111)</f>
        <v>142.83000000000001</v>
      </c>
      <c r="E112">
        <f>_xlfn.IFNA(VLOOKUP(B112,Price_Data!E:F,2,FALSE),E111)</f>
        <v>472.62</v>
      </c>
      <c r="F112" s="9">
        <f>SUMPRODUCT(C112:E112,Portfolio_Input!$C$5:$E$5)</f>
        <v>34909.65</v>
      </c>
      <c r="G112">
        <f t="shared" si="1"/>
        <v>4.4133345751817821E-4</v>
      </c>
    </row>
    <row r="113" spans="2:7" x14ac:dyDescent="0.3">
      <c r="B113" s="7">
        <v>45820</v>
      </c>
      <c r="C113">
        <f>_xlfn.IFNA(VLOOKUP(B113,Price_Data!A:B,2,FALSE),C112)</f>
        <v>199.2</v>
      </c>
      <c r="D113">
        <f>_xlfn.IFNA(VLOOKUP(B113,Price_Data!C:D,2,FALSE),D112)</f>
        <v>145</v>
      </c>
      <c r="E113">
        <f>_xlfn.IFNA(VLOOKUP(B113,Price_Data!E:F,2,FALSE),E112)</f>
        <v>478.87</v>
      </c>
      <c r="F113" s="9">
        <f>SUMPRODUCT(C113:E113,Portfolio_Input!$C$5:$E$5)</f>
        <v>35345.199999999997</v>
      </c>
      <c r="G113">
        <f t="shared" si="1"/>
        <v>1.2476492889501811E-2</v>
      </c>
    </row>
    <row r="114" spans="2:7" x14ac:dyDescent="0.3">
      <c r="B114" s="7">
        <v>45821</v>
      </c>
      <c r="C114">
        <f>_xlfn.IFNA(VLOOKUP(B114,Price_Data!A:B,2,FALSE),C113)</f>
        <v>196.45</v>
      </c>
      <c r="D114">
        <f>_xlfn.IFNA(VLOOKUP(B114,Price_Data!C:D,2,FALSE),D113)</f>
        <v>141.97</v>
      </c>
      <c r="E114">
        <f>_xlfn.IFNA(VLOOKUP(B114,Price_Data!E:F,2,FALSE),E113)</f>
        <v>474.96</v>
      </c>
      <c r="F114" s="9">
        <f>SUMPRODUCT(C114:E114,Portfolio_Input!$C$5:$E$5)</f>
        <v>34993.599999999999</v>
      </c>
      <c r="G114">
        <f t="shared" si="1"/>
        <v>-9.9476025033101712E-3</v>
      </c>
    </row>
    <row r="115" spans="2:7" x14ac:dyDescent="0.3">
      <c r="B115" s="7">
        <v>45824</v>
      </c>
      <c r="C115">
        <f>_xlfn.IFNA(VLOOKUP(B115,Price_Data!A:B,2,FALSE),C114)</f>
        <v>198.42</v>
      </c>
      <c r="D115">
        <f>_xlfn.IFNA(VLOOKUP(B115,Price_Data!C:D,2,FALSE),D114)</f>
        <v>144.69</v>
      </c>
      <c r="E115">
        <f>_xlfn.IFNA(VLOOKUP(B115,Price_Data!E:F,2,FALSE),E114)</f>
        <v>479.14</v>
      </c>
      <c r="F115" s="9">
        <f>SUMPRODUCT(C115:E115,Portfolio_Input!$C$5:$E$5)</f>
        <v>35341.949999999997</v>
      </c>
      <c r="G115">
        <f t="shared" si="1"/>
        <v>9.9546774267293969E-3</v>
      </c>
    </row>
    <row r="116" spans="2:7" x14ac:dyDescent="0.3">
      <c r="B116" s="7">
        <v>45825</v>
      </c>
      <c r="C116">
        <f>_xlfn.IFNA(VLOOKUP(B116,Price_Data!A:B,2,FALSE),C115)</f>
        <v>195.64</v>
      </c>
      <c r="D116">
        <f>_xlfn.IFNA(VLOOKUP(B116,Price_Data!C:D,2,FALSE),D115)</f>
        <v>144.12</v>
      </c>
      <c r="E116">
        <f>_xlfn.IFNA(VLOOKUP(B116,Price_Data!E:F,2,FALSE),E115)</f>
        <v>478.04</v>
      </c>
      <c r="F116" s="9">
        <f>SUMPRODUCT(C116:E116,Portfolio_Input!$C$5:$E$5)</f>
        <v>35220</v>
      </c>
      <c r="G116">
        <f t="shared" si="1"/>
        <v>-3.4505736101148043E-3</v>
      </c>
    </row>
    <row r="117" spans="2:7" x14ac:dyDescent="0.3">
      <c r="B117" s="7">
        <v>45826</v>
      </c>
      <c r="C117">
        <f>_xlfn.IFNA(VLOOKUP(B117,Price_Data!A:B,2,FALSE),C116)</f>
        <v>196.58</v>
      </c>
      <c r="D117">
        <f>_xlfn.IFNA(VLOOKUP(B117,Price_Data!C:D,2,FALSE),D116)</f>
        <v>145.47999999999999</v>
      </c>
      <c r="E117">
        <f>_xlfn.IFNA(VLOOKUP(B117,Price_Data!E:F,2,FALSE),E116)</f>
        <v>480.24</v>
      </c>
      <c r="F117" s="9">
        <f>SUMPRODUCT(C117:E117,Portfolio_Input!$C$5:$E$5)</f>
        <v>35400.1</v>
      </c>
      <c r="G117">
        <f t="shared" si="1"/>
        <v>5.1135718341850378E-3</v>
      </c>
    </row>
    <row r="118" spans="2:7" x14ac:dyDescent="0.3">
      <c r="B118" s="7">
        <v>45828</v>
      </c>
      <c r="C118">
        <f>_xlfn.IFNA(VLOOKUP(B118,Price_Data!A:B,2,FALSE),C117)</f>
        <v>201</v>
      </c>
      <c r="D118">
        <f>_xlfn.IFNA(VLOOKUP(B118,Price_Data!C:D,2,FALSE),D117)</f>
        <v>143.85</v>
      </c>
      <c r="E118">
        <f>_xlfn.IFNA(VLOOKUP(B118,Price_Data!E:F,2,FALSE),E117)</f>
        <v>477.4</v>
      </c>
      <c r="F118" s="9">
        <f>SUMPRODUCT(C118:E118,Portfolio_Input!$C$5:$E$5)</f>
        <v>35255.25</v>
      </c>
      <c r="G118">
        <f t="shared" si="1"/>
        <v>-4.0917963508577682E-3</v>
      </c>
    </row>
    <row r="119" spans="2:7" x14ac:dyDescent="0.3">
      <c r="B119" s="7">
        <v>45831</v>
      </c>
      <c r="C119">
        <f>_xlfn.IFNA(VLOOKUP(B119,Price_Data!A:B,2,FALSE),C118)</f>
        <v>201.5</v>
      </c>
      <c r="D119">
        <f>_xlfn.IFNA(VLOOKUP(B119,Price_Data!C:D,2,FALSE),D118)</f>
        <v>144.16999999999999</v>
      </c>
      <c r="E119">
        <f>_xlfn.IFNA(VLOOKUP(B119,Price_Data!E:F,2,FALSE),E118)</f>
        <v>486</v>
      </c>
      <c r="F119" s="9">
        <f>SUMPRODUCT(C119:E119,Portfolio_Input!$C$5:$E$5)</f>
        <v>35786.75</v>
      </c>
      <c r="G119">
        <f t="shared" si="1"/>
        <v>1.5075768857120586E-2</v>
      </c>
    </row>
    <row r="120" spans="2:7" x14ac:dyDescent="0.3">
      <c r="B120" s="7">
        <v>45832</v>
      </c>
      <c r="C120">
        <f>_xlfn.IFNA(VLOOKUP(B120,Price_Data!A:B,2,FALSE),C119)</f>
        <v>200.3</v>
      </c>
      <c r="D120">
        <f>_xlfn.IFNA(VLOOKUP(B120,Price_Data!C:D,2,FALSE),D119)</f>
        <v>147.9</v>
      </c>
      <c r="E120">
        <f>_xlfn.IFNA(VLOOKUP(B120,Price_Data!E:F,2,FALSE),E119)</f>
        <v>490.11</v>
      </c>
      <c r="F120" s="9">
        <f>SUMPRODUCT(C120:E120,Portfolio_Input!$C$5:$E$5)</f>
        <v>36108.600000000006</v>
      </c>
      <c r="G120">
        <f t="shared" si="1"/>
        <v>8.9935520828241522E-3</v>
      </c>
    </row>
    <row r="121" spans="2:7" x14ac:dyDescent="0.3">
      <c r="B121" s="7">
        <v>45833</v>
      </c>
      <c r="C121">
        <f>_xlfn.IFNA(VLOOKUP(B121,Price_Data!A:B,2,FALSE),C120)</f>
        <v>201.56</v>
      </c>
      <c r="D121">
        <f>_xlfn.IFNA(VLOOKUP(B121,Price_Data!C:D,2,FALSE),D120)</f>
        <v>154.31</v>
      </c>
      <c r="E121">
        <f>_xlfn.IFNA(VLOOKUP(B121,Price_Data!E:F,2,FALSE),E120)</f>
        <v>492.27</v>
      </c>
      <c r="F121" s="9">
        <f>SUMPRODUCT(C121:E121,Portfolio_Input!$C$5:$E$5)</f>
        <v>36417.35</v>
      </c>
      <c r="G121">
        <f t="shared" si="1"/>
        <v>8.5505945951931395E-3</v>
      </c>
    </row>
    <row r="122" spans="2:7" x14ac:dyDescent="0.3">
      <c r="B122" s="7">
        <v>45834</v>
      </c>
      <c r="C122">
        <f>_xlfn.IFNA(VLOOKUP(B122,Price_Data!A:B,2,FALSE),C121)</f>
        <v>201</v>
      </c>
      <c r="D122">
        <f>_xlfn.IFNA(VLOOKUP(B122,Price_Data!C:D,2,FALSE),D121)</f>
        <v>155.02000000000001</v>
      </c>
      <c r="E122">
        <f>_xlfn.IFNA(VLOOKUP(B122,Price_Data!E:F,2,FALSE),E121)</f>
        <v>497.45</v>
      </c>
      <c r="F122" s="9">
        <f>SUMPRODUCT(C122:E122,Portfolio_Input!$C$5:$E$5)</f>
        <v>36737.5</v>
      </c>
      <c r="G122">
        <f t="shared" si="1"/>
        <v>8.7911393882311728E-3</v>
      </c>
    </row>
    <row r="123" spans="2:7" x14ac:dyDescent="0.3">
      <c r="B123" s="7">
        <v>45835</v>
      </c>
      <c r="C123">
        <f>_xlfn.IFNA(VLOOKUP(B123,Price_Data!A:B,2,FALSE),C122)</f>
        <v>201.08</v>
      </c>
      <c r="D123">
        <f>_xlfn.IFNA(VLOOKUP(B123,Price_Data!C:D,2,FALSE),D122)</f>
        <v>157.75</v>
      </c>
      <c r="E123">
        <f>_xlfn.IFNA(VLOOKUP(B123,Price_Data!E:F,2,FALSE),E122)</f>
        <v>495.94</v>
      </c>
      <c r="F123" s="9">
        <f>SUMPRODUCT(C123:E123,Portfolio_Input!$C$5:$E$5)</f>
        <v>36716.350000000006</v>
      </c>
      <c r="G123">
        <f t="shared" si="1"/>
        <v>-5.7570602245649027E-4</v>
      </c>
    </row>
    <row r="124" spans="2:7" x14ac:dyDescent="0.3">
      <c r="B124" s="7">
        <v>45838</v>
      </c>
      <c r="C124">
        <f>_xlfn.IFNA(VLOOKUP(B124,Price_Data!A:B,2,FALSE),C123)</f>
        <v>205.17</v>
      </c>
      <c r="D124">
        <f>_xlfn.IFNA(VLOOKUP(B124,Price_Data!C:D,2,FALSE),D123)</f>
        <v>157.99</v>
      </c>
      <c r="E124">
        <f>_xlfn.IFNA(VLOOKUP(B124,Price_Data!E:F,2,FALSE),E123)</f>
        <v>497.41</v>
      </c>
      <c r="F124" s="9">
        <f>SUMPRODUCT(C124:E124,Portfolio_Input!$C$5:$E$5)</f>
        <v>36871.9</v>
      </c>
      <c r="G124">
        <f t="shared" si="1"/>
        <v>4.2365322261062044E-3</v>
      </c>
    </row>
    <row r="125" spans="2:7" x14ac:dyDescent="0.3">
      <c r="B125" s="7">
        <v>45839</v>
      </c>
      <c r="C125">
        <f>_xlfn.IFNA(VLOOKUP(B125,Price_Data!A:B,2,FALSE),C124)</f>
        <v>207.82</v>
      </c>
      <c r="D125">
        <f>_xlfn.IFNA(VLOOKUP(B125,Price_Data!C:D,2,FALSE),D124)</f>
        <v>153.30000000000001</v>
      </c>
      <c r="E125">
        <f>_xlfn.IFNA(VLOOKUP(B125,Price_Data!E:F,2,FALSE),E124)</f>
        <v>492.05</v>
      </c>
      <c r="F125" s="9">
        <f>SUMPRODUCT(C125:E125,Portfolio_Input!$C$5:$E$5)</f>
        <v>36472.800000000003</v>
      </c>
      <c r="G125">
        <f t="shared" si="1"/>
        <v>-1.0823960793992171E-2</v>
      </c>
    </row>
    <row r="126" spans="2:7" x14ac:dyDescent="0.3">
      <c r="B126" s="7">
        <v>45840</v>
      </c>
      <c r="C126">
        <f>_xlfn.IFNA(VLOOKUP(B126,Price_Data!A:B,2,FALSE),C125)</f>
        <v>212.44</v>
      </c>
      <c r="D126">
        <f>_xlfn.IFNA(VLOOKUP(B126,Price_Data!C:D,2,FALSE),D125)</f>
        <v>157.25</v>
      </c>
      <c r="E126">
        <f>_xlfn.IFNA(VLOOKUP(B126,Price_Data!E:F,2,FALSE),E125)</f>
        <v>491.09</v>
      </c>
      <c r="F126" s="9">
        <f>SUMPRODUCT(C126:E126,Portfolio_Input!$C$5:$E$5)</f>
        <v>36583.25</v>
      </c>
      <c r="G126">
        <f t="shared" si="1"/>
        <v>3.0282840911581843E-3</v>
      </c>
    </row>
    <row r="127" spans="2:7" x14ac:dyDescent="0.3">
      <c r="B127" s="7">
        <v>45841</v>
      </c>
      <c r="C127">
        <f>_xlfn.IFNA(VLOOKUP(B127,Price_Data!A:B,2,FALSE),C126)</f>
        <v>213.55</v>
      </c>
      <c r="D127">
        <f>_xlfn.IFNA(VLOOKUP(B127,Price_Data!C:D,2,FALSE),D126)</f>
        <v>159.34</v>
      </c>
      <c r="E127">
        <f>_xlfn.IFNA(VLOOKUP(B127,Price_Data!E:F,2,FALSE),E126)</f>
        <v>498.84</v>
      </c>
      <c r="F127" s="9">
        <f>SUMPRODUCT(C127:E127,Portfolio_Input!$C$5:$E$5)</f>
        <v>37117.149999999994</v>
      </c>
      <c r="G127">
        <f t="shared" si="1"/>
        <v>1.4594110692734974E-2</v>
      </c>
    </row>
    <row r="128" spans="2:7" x14ac:dyDescent="0.3">
      <c r="B128" s="7">
        <v>45845</v>
      </c>
      <c r="C128">
        <f>_xlfn.IFNA(VLOOKUP(B128,Price_Data!A:B,2,FALSE),C127)</f>
        <v>209.95</v>
      </c>
      <c r="D128">
        <f>_xlfn.IFNA(VLOOKUP(B128,Price_Data!C:D,2,FALSE),D127)</f>
        <v>158.24</v>
      </c>
      <c r="E128">
        <f>_xlfn.IFNA(VLOOKUP(B128,Price_Data!E:F,2,FALSE),E127)</f>
        <v>497.72</v>
      </c>
      <c r="F128" s="9">
        <f>SUMPRODUCT(C128:E128,Portfolio_Input!$C$5:$E$5)</f>
        <v>36968.449999999997</v>
      </c>
      <c r="G128">
        <f t="shared" si="1"/>
        <v>-4.0062343148651314E-3</v>
      </c>
    </row>
    <row r="129" spans="2:7" x14ac:dyDescent="0.3">
      <c r="B129" s="7">
        <v>45846</v>
      </c>
      <c r="C129">
        <f>_xlfn.IFNA(VLOOKUP(B129,Price_Data!A:B,2,FALSE),C128)</f>
        <v>210.01</v>
      </c>
      <c r="D129">
        <f>_xlfn.IFNA(VLOOKUP(B129,Price_Data!C:D,2,FALSE),D128)</f>
        <v>160</v>
      </c>
      <c r="E129">
        <f>_xlfn.IFNA(VLOOKUP(B129,Price_Data!E:F,2,FALSE),E128)</f>
        <v>496.62</v>
      </c>
      <c r="F129" s="9">
        <f>SUMPRODUCT(C129:E129,Portfolio_Input!$C$5:$E$5)</f>
        <v>36947.35</v>
      </c>
      <c r="G129">
        <f t="shared" si="1"/>
        <v>-5.7075695626940259E-4</v>
      </c>
    </row>
    <row r="130" spans="2:7" x14ac:dyDescent="0.3">
      <c r="B130" s="7">
        <v>45847</v>
      </c>
      <c r="C130">
        <f>_xlfn.IFNA(VLOOKUP(B130,Price_Data!A:B,2,FALSE),C129)</f>
        <v>211.14</v>
      </c>
      <c r="D130">
        <f>_xlfn.IFNA(VLOOKUP(B130,Price_Data!C:D,2,FALSE),D129)</f>
        <v>162.88</v>
      </c>
      <c r="E130">
        <f>_xlfn.IFNA(VLOOKUP(B130,Price_Data!E:F,2,FALSE),E129)</f>
        <v>503.51</v>
      </c>
      <c r="F130" s="9">
        <f>SUMPRODUCT(C130:E130,Portfolio_Input!$C$5:$E$5)</f>
        <v>37449.699999999997</v>
      </c>
      <c r="G130">
        <f t="shared" si="1"/>
        <v>1.3596374300186564E-2</v>
      </c>
    </row>
    <row r="131" spans="2:7" x14ac:dyDescent="0.3">
      <c r="B131" s="7">
        <v>45848</v>
      </c>
      <c r="C131">
        <f>_xlfn.IFNA(VLOOKUP(B131,Price_Data!A:B,2,FALSE),C130)</f>
        <v>212.41</v>
      </c>
      <c r="D131">
        <f>_xlfn.IFNA(VLOOKUP(B131,Price_Data!C:D,2,FALSE),D130)</f>
        <v>164.1</v>
      </c>
      <c r="E131">
        <f>_xlfn.IFNA(VLOOKUP(B131,Price_Data!E:F,2,FALSE),E130)</f>
        <v>501.48</v>
      </c>
      <c r="F131" s="9">
        <f>SUMPRODUCT(C131:E131,Portfolio_Input!$C$5:$E$5)</f>
        <v>37377.450000000004</v>
      </c>
      <c r="G131">
        <f t="shared" si="1"/>
        <v>-1.9292544399552858E-3</v>
      </c>
    </row>
    <row r="132" spans="2:7" x14ac:dyDescent="0.3">
      <c r="B132" s="7">
        <v>45849</v>
      </c>
      <c r="C132">
        <f>_xlfn.IFNA(VLOOKUP(B132,Price_Data!A:B,2,FALSE),C131)</f>
        <v>211.16</v>
      </c>
      <c r="D132">
        <f>_xlfn.IFNA(VLOOKUP(B132,Price_Data!C:D,2,FALSE),D131)</f>
        <v>164.92</v>
      </c>
      <c r="E132">
        <f>_xlfn.IFNA(VLOOKUP(B132,Price_Data!E:F,2,FALSE),E131)</f>
        <v>503.32</v>
      </c>
      <c r="F132" s="9">
        <f>SUMPRODUCT(C132:E132,Portfolio_Input!$C$5:$E$5)</f>
        <v>37489.599999999999</v>
      </c>
      <c r="G132">
        <f t="shared" si="1"/>
        <v>3.0004722098482262E-3</v>
      </c>
    </row>
    <row r="133" spans="2:7" x14ac:dyDescent="0.3">
      <c r="B133" s="7">
        <v>45852</v>
      </c>
      <c r="C133">
        <f>_xlfn.IFNA(VLOOKUP(B133,Price_Data!A:B,2,FALSE),C132)</f>
        <v>208.62</v>
      </c>
      <c r="D133">
        <f>_xlfn.IFNA(VLOOKUP(B133,Price_Data!C:D,2,FALSE),D132)</f>
        <v>164.07</v>
      </c>
      <c r="E133">
        <f>_xlfn.IFNA(VLOOKUP(B133,Price_Data!E:F,2,FALSE),E132)</f>
        <v>503.02</v>
      </c>
      <c r="F133" s="9">
        <f>SUMPRODUCT(C133:E133,Portfolio_Input!$C$5:$E$5)</f>
        <v>37412.25</v>
      </c>
      <c r="G133">
        <f t="shared" ref="G133:G196" si="2">F133/F132-1</f>
        <v>-2.0632388715803307E-3</v>
      </c>
    </row>
    <row r="134" spans="2:7" x14ac:dyDescent="0.3">
      <c r="B134" s="7">
        <v>45853</v>
      </c>
      <c r="C134">
        <f>_xlfn.IFNA(VLOOKUP(B134,Price_Data!A:B,2,FALSE),C133)</f>
        <v>209.11</v>
      </c>
      <c r="D134">
        <f>_xlfn.IFNA(VLOOKUP(B134,Price_Data!C:D,2,FALSE),D133)</f>
        <v>170.7</v>
      </c>
      <c r="E134">
        <f>_xlfn.IFNA(VLOOKUP(B134,Price_Data!E:F,2,FALSE),E133)</f>
        <v>505.82</v>
      </c>
      <c r="F134" s="9">
        <f>SUMPRODUCT(C134:E134,Portfolio_Input!$C$5:$E$5)</f>
        <v>37753.35</v>
      </c>
      <c r="G134">
        <f t="shared" si="2"/>
        <v>9.1173345628769997E-3</v>
      </c>
    </row>
    <row r="135" spans="2:7" x14ac:dyDescent="0.3">
      <c r="B135" s="7">
        <v>45854</v>
      </c>
      <c r="C135">
        <f>_xlfn.IFNA(VLOOKUP(B135,Price_Data!A:B,2,FALSE),C134)</f>
        <v>210.16</v>
      </c>
      <c r="D135">
        <f>_xlfn.IFNA(VLOOKUP(B135,Price_Data!C:D,2,FALSE),D134)</f>
        <v>171.37</v>
      </c>
      <c r="E135">
        <f>_xlfn.IFNA(VLOOKUP(B135,Price_Data!E:F,2,FALSE),E134)</f>
        <v>505.62</v>
      </c>
      <c r="F135" s="9">
        <f>SUMPRODUCT(C135:E135,Portfolio_Input!$C$5:$E$5)</f>
        <v>37773.85</v>
      </c>
      <c r="G135">
        <f t="shared" si="2"/>
        <v>5.4299817102321235E-4</v>
      </c>
    </row>
    <row r="136" spans="2:7" x14ac:dyDescent="0.3">
      <c r="B136" s="7">
        <v>45855</v>
      </c>
      <c r="C136">
        <f>_xlfn.IFNA(VLOOKUP(B136,Price_Data!A:B,2,FALSE),C135)</f>
        <v>210.02</v>
      </c>
      <c r="D136">
        <f>_xlfn.IFNA(VLOOKUP(B136,Price_Data!C:D,2,FALSE),D135)</f>
        <v>173</v>
      </c>
      <c r="E136">
        <f>_xlfn.IFNA(VLOOKUP(B136,Price_Data!E:F,2,FALSE),E135)</f>
        <v>511.7</v>
      </c>
      <c r="F136" s="9">
        <f>SUMPRODUCT(C136:E136,Portfolio_Input!$C$5:$E$5)</f>
        <v>38177.300000000003</v>
      </c>
      <c r="G136">
        <f t="shared" si="2"/>
        <v>1.0680669298999357E-2</v>
      </c>
    </row>
    <row r="137" spans="2:7" x14ac:dyDescent="0.3">
      <c r="B137" s="7">
        <v>45856</v>
      </c>
      <c r="C137">
        <f>_xlfn.IFNA(VLOOKUP(B137,Price_Data!A:B,2,FALSE),C136)</f>
        <v>211.18</v>
      </c>
      <c r="D137">
        <f>_xlfn.IFNA(VLOOKUP(B137,Price_Data!C:D,2,FALSE),D136)</f>
        <v>172.41</v>
      </c>
      <c r="E137">
        <f>_xlfn.IFNA(VLOOKUP(B137,Price_Data!E:F,2,FALSE),E136)</f>
        <v>510.05</v>
      </c>
      <c r="F137" s="9">
        <f>SUMPRODUCT(C137:E137,Portfolio_Input!$C$5:$E$5)</f>
        <v>38080.949999999997</v>
      </c>
      <c r="G137">
        <f t="shared" si="2"/>
        <v>-2.5237510248238282E-3</v>
      </c>
    </row>
    <row r="138" spans="2:7" x14ac:dyDescent="0.3">
      <c r="B138" s="7">
        <v>45859</v>
      </c>
      <c r="C138">
        <f>_xlfn.IFNA(VLOOKUP(B138,Price_Data!A:B,2,FALSE),C137)</f>
        <v>212.48</v>
      </c>
      <c r="D138">
        <f>_xlfn.IFNA(VLOOKUP(B138,Price_Data!C:D,2,FALSE),D137)</f>
        <v>171.38</v>
      </c>
      <c r="E138">
        <f>_xlfn.IFNA(VLOOKUP(B138,Price_Data!E:F,2,FALSE),E137)</f>
        <v>510.06</v>
      </c>
      <c r="F138" s="9">
        <f>SUMPRODUCT(C138:E138,Portfolio_Input!$C$5:$E$5)</f>
        <v>38075.299999999996</v>
      </c>
      <c r="G138">
        <f t="shared" si="2"/>
        <v>-1.4836814732832604E-4</v>
      </c>
    </row>
    <row r="139" spans="2:7" x14ac:dyDescent="0.3">
      <c r="B139" s="7">
        <v>45860</v>
      </c>
      <c r="C139">
        <f>_xlfn.IFNA(VLOOKUP(B139,Price_Data!A:B,2,FALSE),C138)</f>
        <v>214.4</v>
      </c>
      <c r="D139">
        <f>_xlfn.IFNA(VLOOKUP(B139,Price_Data!C:D,2,FALSE),D138)</f>
        <v>167.03</v>
      </c>
      <c r="E139">
        <f>_xlfn.IFNA(VLOOKUP(B139,Price_Data!E:F,2,FALSE),E138)</f>
        <v>505.27</v>
      </c>
      <c r="F139" s="9">
        <f>SUMPRODUCT(C139:E139,Portfolio_Input!$C$5:$E$5)</f>
        <v>37707.949999999997</v>
      </c>
      <c r="G139">
        <f t="shared" si="2"/>
        <v>-9.6479870152040847E-3</v>
      </c>
    </row>
    <row r="140" spans="2:7" x14ac:dyDescent="0.3">
      <c r="B140" s="7">
        <v>45861</v>
      </c>
      <c r="C140">
        <f>_xlfn.IFNA(VLOOKUP(B140,Price_Data!A:B,2,FALSE),C139)</f>
        <v>214.15</v>
      </c>
      <c r="D140">
        <f>_xlfn.IFNA(VLOOKUP(B140,Price_Data!C:D,2,FALSE),D139)</f>
        <v>170.78</v>
      </c>
      <c r="E140">
        <f>_xlfn.IFNA(VLOOKUP(B140,Price_Data!E:F,2,FALSE),E139)</f>
        <v>505.87</v>
      </c>
      <c r="F140" s="9">
        <f>SUMPRODUCT(C140:E140,Portfolio_Input!$C$5:$E$5)</f>
        <v>37833.949999999997</v>
      </c>
      <c r="G140">
        <f t="shared" si="2"/>
        <v>3.3414704326275579E-3</v>
      </c>
    </row>
    <row r="141" spans="2:7" x14ac:dyDescent="0.3">
      <c r="B141" s="7">
        <v>45862</v>
      </c>
      <c r="C141">
        <f>_xlfn.IFNA(VLOOKUP(B141,Price_Data!A:B,2,FALSE),C140)</f>
        <v>213.76</v>
      </c>
      <c r="D141">
        <f>_xlfn.IFNA(VLOOKUP(B141,Price_Data!C:D,2,FALSE),D140)</f>
        <v>173.74</v>
      </c>
      <c r="E141">
        <f>_xlfn.IFNA(VLOOKUP(B141,Price_Data!E:F,2,FALSE),E140)</f>
        <v>510.88</v>
      </c>
      <c r="F141" s="9">
        <f>SUMPRODUCT(C141:E141,Portfolio_Input!$C$5:$E$5)</f>
        <v>38202.699999999997</v>
      </c>
      <c r="G141">
        <f t="shared" si="2"/>
        <v>9.746537170979952E-3</v>
      </c>
    </row>
    <row r="142" spans="2:7" x14ac:dyDescent="0.3">
      <c r="B142" s="7">
        <v>45863</v>
      </c>
      <c r="C142">
        <f>_xlfn.IFNA(VLOOKUP(B142,Price_Data!A:B,2,FALSE),C141)</f>
        <v>213.88</v>
      </c>
      <c r="D142">
        <f>_xlfn.IFNA(VLOOKUP(B142,Price_Data!C:D,2,FALSE),D141)</f>
        <v>173.5</v>
      </c>
      <c r="E142">
        <f>_xlfn.IFNA(VLOOKUP(B142,Price_Data!E:F,2,FALSE),E141)</f>
        <v>513.71</v>
      </c>
      <c r="F142" s="9">
        <f>SUMPRODUCT(C142:E142,Portfolio_Input!$C$5:$E$5)</f>
        <v>38368.300000000003</v>
      </c>
      <c r="G142">
        <f t="shared" si="2"/>
        <v>4.3347721496125313E-3</v>
      </c>
    </row>
    <row r="143" spans="2:7" x14ac:dyDescent="0.3">
      <c r="B143" s="7">
        <v>45866</v>
      </c>
      <c r="C143">
        <f>_xlfn.IFNA(VLOOKUP(B143,Price_Data!A:B,2,FALSE),C142)</f>
        <v>214.05</v>
      </c>
      <c r="D143">
        <f>_xlfn.IFNA(VLOOKUP(B143,Price_Data!C:D,2,FALSE),D142)</f>
        <v>176.75</v>
      </c>
      <c r="E143">
        <f>_xlfn.IFNA(VLOOKUP(B143,Price_Data!E:F,2,FALSE),E142)</f>
        <v>512.5</v>
      </c>
      <c r="F143" s="9">
        <f>SUMPRODUCT(C143:E143,Portfolio_Input!$C$5:$E$5)</f>
        <v>38379.5</v>
      </c>
      <c r="G143">
        <f t="shared" si="2"/>
        <v>2.9190764250697221E-4</v>
      </c>
    </row>
    <row r="144" spans="2:7" x14ac:dyDescent="0.3">
      <c r="B144" s="7">
        <v>45867</v>
      </c>
      <c r="C144">
        <f>_xlfn.IFNA(VLOOKUP(B144,Price_Data!A:B,2,FALSE),C143)</f>
        <v>211.27</v>
      </c>
      <c r="D144">
        <f>_xlfn.IFNA(VLOOKUP(B144,Price_Data!C:D,2,FALSE),D143)</f>
        <v>175.51</v>
      </c>
      <c r="E144">
        <f>_xlfn.IFNA(VLOOKUP(B144,Price_Data!E:F,2,FALSE),E143)</f>
        <v>512.57000000000005</v>
      </c>
      <c r="F144" s="9">
        <f>SUMPRODUCT(C144:E144,Portfolio_Input!$C$5:$E$5)</f>
        <v>38311.000000000007</v>
      </c>
      <c r="G144">
        <f t="shared" si="2"/>
        <v>-1.7848069933165123E-3</v>
      </c>
    </row>
    <row r="145" spans="2:7" x14ac:dyDescent="0.3">
      <c r="B145" s="7">
        <v>45868</v>
      </c>
      <c r="C145">
        <f>_xlfn.IFNA(VLOOKUP(B145,Price_Data!A:B,2,FALSE),C144)</f>
        <v>209.05</v>
      </c>
      <c r="D145">
        <f>_xlfn.IFNA(VLOOKUP(B145,Price_Data!C:D,2,FALSE),D144)</f>
        <v>179.27</v>
      </c>
      <c r="E145">
        <f>_xlfn.IFNA(VLOOKUP(B145,Price_Data!E:F,2,FALSE),E144)</f>
        <v>513.24</v>
      </c>
      <c r="F145" s="9">
        <f>SUMPRODUCT(C145:E145,Portfolio_Input!$C$5:$E$5)</f>
        <v>38411.9</v>
      </c>
      <c r="G145">
        <f t="shared" si="2"/>
        <v>2.6337083344207812E-3</v>
      </c>
    </row>
    <row r="146" spans="2:7" x14ac:dyDescent="0.3">
      <c r="B146" s="7">
        <v>45869</v>
      </c>
      <c r="C146">
        <f>_xlfn.IFNA(VLOOKUP(B146,Price_Data!A:B,2,FALSE),C145)</f>
        <v>207.57</v>
      </c>
      <c r="D146">
        <f>_xlfn.IFNA(VLOOKUP(B146,Price_Data!C:D,2,FALSE),D145)</f>
        <v>177.87</v>
      </c>
      <c r="E146">
        <f>_xlfn.IFNA(VLOOKUP(B146,Price_Data!E:F,2,FALSE),E145)</f>
        <v>533.5</v>
      </c>
      <c r="F146" s="9">
        <f>SUMPRODUCT(C146:E146,Portfolio_Input!$C$5:$E$5)</f>
        <v>39570.300000000003</v>
      </c>
      <c r="G146">
        <f t="shared" si="2"/>
        <v>3.0157321038532414E-2</v>
      </c>
    </row>
    <row r="147" spans="2:7" x14ac:dyDescent="0.3">
      <c r="B147" s="7">
        <v>45870</v>
      </c>
      <c r="C147">
        <f>_xlfn.IFNA(VLOOKUP(B147,Price_Data!A:B,2,FALSE),C146)</f>
        <v>202.38</v>
      </c>
      <c r="D147">
        <f>_xlfn.IFNA(VLOOKUP(B147,Price_Data!C:D,2,FALSE),D146)</f>
        <v>173.72</v>
      </c>
      <c r="E147">
        <f>_xlfn.IFNA(VLOOKUP(B147,Price_Data!E:F,2,FALSE),E146)</f>
        <v>524.11</v>
      </c>
      <c r="F147" s="9">
        <f>SUMPRODUCT(C147:E147,Portfolio_Input!$C$5:$E$5)</f>
        <v>38825.300000000003</v>
      </c>
      <c r="G147">
        <f t="shared" si="2"/>
        <v>-1.8827251751945218E-2</v>
      </c>
    </row>
    <row r="148" spans="2:7" x14ac:dyDescent="0.3">
      <c r="B148" s="7">
        <v>45873</v>
      </c>
      <c r="C148">
        <f>_xlfn.IFNA(VLOOKUP(B148,Price_Data!A:B,2,FALSE),C147)</f>
        <v>203.35</v>
      </c>
      <c r="D148">
        <f>_xlfn.IFNA(VLOOKUP(B148,Price_Data!C:D,2,FALSE),D147)</f>
        <v>180</v>
      </c>
      <c r="E148">
        <f>_xlfn.IFNA(VLOOKUP(B148,Price_Data!E:F,2,FALSE),E147)</f>
        <v>535.64</v>
      </c>
      <c r="F148" s="9">
        <f>SUMPRODUCT(C148:E148,Portfolio_Input!$C$5:$E$5)</f>
        <v>39688.649999999994</v>
      </c>
      <c r="G148">
        <f t="shared" si="2"/>
        <v>2.2236788897960658E-2</v>
      </c>
    </row>
    <row r="149" spans="2:7" x14ac:dyDescent="0.3">
      <c r="B149" s="7">
        <v>45874</v>
      </c>
      <c r="C149">
        <f>_xlfn.IFNA(VLOOKUP(B149,Price_Data!A:B,2,FALSE),C148)</f>
        <v>202.92</v>
      </c>
      <c r="D149">
        <f>_xlfn.IFNA(VLOOKUP(B149,Price_Data!C:D,2,FALSE),D148)</f>
        <v>178.26</v>
      </c>
      <c r="E149">
        <f>_xlfn.IFNA(VLOOKUP(B149,Price_Data!E:F,2,FALSE),E148)</f>
        <v>527.75</v>
      </c>
      <c r="F149" s="9">
        <f>SUMPRODUCT(C149:E149,Portfolio_Input!$C$5:$E$5)</f>
        <v>39165.300000000003</v>
      </c>
      <c r="G149">
        <f t="shared" si="2"/>
        <v>-1.318638955973539E-2</v>
      </c>
    </row>
    <row r="150" spans="2:7" x14ac:dyDescent="0.3">
      <c r="B150" s="7">
        <v>45875</v>
      </c>
      <c r="C150">
        <f>_xlfn.IFNA(VLOOKUP(B150,Price_Data!A:B,2,FALSE),C149)</f>
        <v>213.25</v>
      </c>
      <c r="D150">
        <f>_xlfn.IFNA(VLOOKUP(B150,Price_Data!C:D,2,FALSE),D149)</f>
        <v>179.42</v>
      </c>
      <c r="E150">
        <f>_xlfn.IFNA(VLOOKUP(B150,Price_Data!E:F,2,FALSE),E149)</f>
        <v>524.94000000000005</v>
      </c>
      <c r="F150" s="9">
        <f>SUMPRODUCT(C150:E150,Portfolio_Input!$C$5:$E$5)</f>
        <v>39180.65</v>
      </c>
      <c r="G150">
        <f t="shared" si="2"/>
        <v>3.9192856942249499E-4</v>
      </c>
    </row>
    <row r="151" spans="2:7" x14ac:dyDescent="0.3">
      <c r="B151" s="7">
        <v>45876</v>
      </c>
      <c r="C151">
        <f>_xlfn.IFNA(VLOOKUP(B151,Price_Data!A:B,2,FALSE),C150)</f>
        <v>220.03</v>
      </c>
      <c r="D151">
        <f>_xlfn.IFNA(VLOOKUP(B151,Price_Data!C:D,2,FALSE),D150)</f>
        <v>180.77</v>
      </c>
      <c r="E151">
        <f>_xlfn.IFNA(VLOOKUP(B151,Price_Data!E:F,2,FALSE),E150)</f>
        <v>520.84</v>
      </c>
      <c r="F151" s="9">
        <f>SUMPRODUCT(C151:E151,Portfolio_Input!$C$5:$E$5)</f>
        <v>39070.1</v>
      </c>
      <c r="G151">
        <f t="shared" si="2"/>
        <v>-2.8215458395918214E-3</v>
      </c>
    </row>
    <row r="152" spans="2:7" x14ac:dyDescent="0.3">
      <c r="B152" s="7">
        <v>45877</v>
      </c>
      <c r="C152">
        <f>_xlfn.IFNA(VLOOKUP(B152,Price_Data!A:B,2,FALSE),C151)</f>
        <v>229.35</v>
      </c>
      <c r="D152">
        <f>_xlfn.IFNA(VLOOKUP(B152,Price_Data!C:D,2,FALSE),D151)</f>
        <v>182.7</v>
      </c>
      <c r="E152">
        <f>_xlfn.IFNA(VLOOKUP(B152,Price_Data!E:F,2,FALSE),E151)</f>
        <v>522.04</v>
      </c>
      <c r="F152" s="9">
        <f>SUMPRODUCT(C152:E152,Portfolio_Input!$C$5:$E$5)</f>
        <v>39330.149999999994</v>
      </c>
      <c r="G152">
        <f t="shared" si="2"/>
        <v>6.6559850115559538E-3</v>
      </c>
    </row>
    <row r="153" spans="2:7" x14ac:dyDescent="0.3">
      <c r="B153" s="7">
        <v>45880</v>
      </c>
      <c r="C153">
        <f>_xlfn.IFNA(VLOOKUP(B153,Price_Data!A:B,2,FALSE),C152)</f>
        <v>227.18</v>
      </c>
      <c r="D153">
        <f>_xlfn.IFNA(VLOOKUP(B153,Price_Data!C:D,2,FALSE),D152)</f>
        <v>182.06</v>
      </c>
      <c r="E153">
        <f>_xlfn.IFNA(VLOOKUP(B153,Price_Data!E:F,2,FALSE),E152)</f>
        <v>521.77</v>
      </c>
      <c r="F153" s="9">
        <f>SUMPRODUCT(C153:E153,Portfolio_Input!$C$5:$E$5)</f>
        <v>39265.399999999994</v>
      </c>
      <c r="G153">
        <f t="shared" si="2"/>
        <v>-1.6463196809571867E-3</v>
      </c>
    </row>
    <row r="154" spans="2:7" x14ac:dyDescent="0.3">
      <c r="B154" s="7">
        <v>45881</v>
      </c>
      <c r="C154">
        <f>_xlfn.IFNA(VLOOKUP(B154,Price_Data!A:B,2,FALSE),C153)</f>
        <v>229.65</v>
      </c>
      <c r="D154">
        <f>_xlfn.IFNA(VLOOKUP(B154,Price_Data!C:D,2,FALSE),D153)</f>
        <v>183.16</v>
      </c>
      <c r="E154">
        <f>_xlfn.IFNA(VLOOKUP(B154,Price_Data!E:F,2,FALSE),E153)</f>
        <v>529.24</v>
      </c>
      <c r="F154" s="9">
        <f>SUMPRODUCT(C154:E154,Portfolio_Input!$C$5:$E$5)</f>
        <v>39778.15</v>
      </c>
      <c r="G154">
        <f t="shared" si="2"/>
        <v>1.3058570649987278E-2</v>
      </c>
    </row>
    <row r="155" spans="2:7" x14ac:dyDescent="0.3">
      <c r="B155" s="7">
        <v>45882</v>
      </c>
      <c r="C155">
        <f>_xlfn.IFNA(VLOOKUP(B155,Price_Data!A:B,2,FALSE),C154)</f>
        <v>233.33</v>
      </c>
      <c r="D155">
        <f>_xlfn.IFNA(VLOOKUP(B155,Price_Data!C:D,2,FALSE),D154)</f>
        <v>181.59</v>
      </c>
      <c r="E155">
        <f>_xlfn.IFNA(VLOOKUP(B155,Price_Data!E:F,2,FALSE),E154)</f>
        <v>520.58000000000004</v>
      </c>
      <c r="F155" s="9">
        <f>SUMPRODUCT(C155:E155,Portfolio_Input!$C$5:$E$5)</f>
        <v>39274.5</v>
      </c>
      <c r="G155">
        <f t="shared" si="2"/>
        <v>-1.2661473698500347E-2</v>
      </c>
    </row>
    <row r="156" spans="2:7" x14ac:dyDescent="0.3">
      <c r="B156" s="7">
        <v>45883</v>
      </c>
      <c r="C156">
        <f>_xlfn.IFNA(VLOOKUP(B156,Price_Data!A:B,2,FALSE),C155)</f>
        <v>232.78</v>
      </c>
      <c r="D156">
        <f>_xlfn.IFNA(VLOOKUP(B156,Price_Data!C:D,2,FALSE),D155)</f>
        <v>182.02</v>
      </c>
      <c r="E156">
        <f>_xlfn.IFNA(VLOOKUP(B156,Price_Data!E:F,2,FALSE),E155)</f>
        <v>522.48</v>
      </c>
      <c r="F156" s="9">
        <f>SUMPRODUCT(C156:E156,Portfolio_Input!$C$5:$E$5)</f>
        <v>39391</v>
      </c>
      <c r="G156">
        <f t="shared" si="2"/>
        <v>2.9663012896408159E-3</v>
      </c>
    </row>
    <row r="157" spans="2:7" x14ac:dyDescent="0.3">
      <c r="B157" s="7">
        <v>45884</v>
      </c>
      <c r="C157">
        <f>_xlfn.IFNA(VLOOKUP(B157,Price_Data!A:B,2,FALSE),C156)</f>
        <v>231.59</v>
      </c>
      <c r="D157">
        <f>_xlfn.IFNA(VLOOKUP(B157,Price_Data!C:D,2,FALSE),D156)</f>
        <v>180.45</v>
      </c>
      <c r="E157">
        <f>_xlfn.IFNA(VLOOKUP(B157,Price_Data!E:F,2,FALSE),E156)</f>
        <v>520.16999999999996</v>
      </c>
      <c r="F157" s="9">
        <f>SUMPRODUCT(C157:E157,Portfolio_Input!$C$5:$E$5)</f>
        <v>39195.299999999996</v>
      </c>
      <c r="G157">
        <f t="shared" si="2"/>
        <v>-4.9681399304410956E-3</v>
      </c>
    </row>
    <row r="158" spans="2:7" x14ac:dyDescent="0.3">
      <c r="B158" s="7">
        <v>45887</v>
      </c>
      <c r="C158">
        <f>_xlfn.IFNA(VLOOKUP(B158,Price_Data!A:B,2,FALSE),C157)</f>
        <v>230.89</v>
      </c>
      <c r="D158">
        <f>_xlfn.IFNA(VLOOKUP(B158,Price_Data!C:D,2,FALSE),D157)</f>
        <v>182.01</v>
      </c>
      <c r="E158">
        <f>_xlfn.IFNA(VLOOKUP(B158,Price_Data!E:F,2,FALSE),E157)</f>
        <v>517.1</v>
      </c>
      <c r="F158" s="9">
        <f>SUMPRODUCT(C158:E158,Portfolio_Input!$C$5:$E$5)</f>
        <v>39039.599999999999</v>
      </c>
      <c r="G158">
        <f t="shared" si="2"/>
        <v>-3.9724150599688146E-3</v>
      </c>
    </row>
    <row r="159" spans="2:7" x14ac:dyDescent="0.3">
      <c r="B159" s="7">
        <v>45888</v>
      </c>
      <c r="C159">
        <f>_xlfn.IFNA(VLOOKUP(B159,Price_Data!A:B,2,FALSE),C158)</f>
        <v>230.56</v>
      </c>
      <c r="D159">
        <f>_xlfn.IFNA(VLOOKUP(B159,Price_Data!C:D,2,FALSE),D158)</f>
        <v>175.64</v>
      </c>
      <c r="E159">
        <f>_xlfn.IFNA(VLOOKUP(B159,Price_Data!E:F,2,FALSE),E158)</f>
        <v>509.77</v>
      </c>
      <c r="F159" s="9">
        <f>SUMPRODUCT(C159:E159,Portfolio_Input!$C$5:$E$5)</f>
        <v>38435.599999999999</v>
      </c>
      <c r="G159">
        <f t="shared" si="2"/>
        <v>-1.5471469994569609E-2</v>
      </c>
    </row>
    <row r="160" spans="2:7" x14ac:dyDescent="0.3">
      <c r="B160" s="7">
        <v>45889</v>
      </c>
      <c r="C160">
        <f>_xlfn.IFNA(VLOOKUP(B160,Price_Data!A:B,2,FALSE),C159)</f>
        <v>226.01</v>
      </c>
      <c r="D160">
        <f>_xlfn.IFNA(VLOOKUP(B160,Price_Data!C:D,2,FALSE),D159)</f>
        <v>175.4</v>
      </c>
      <c r="E160">
        <f>_xlfn.IFNA(VLOOKUP(B160,Price_Data!E:F,2,FALSE),E159)</f>
        <v>505.72</v>
      </c>
      <c r="F160" s="9">
        <f>SUMPRODUCT(C160:E160,Portfolio_Input!$C$5:$E$5)</f>
        <v>38118.35</v>
      </c>
      <c r="G160">
        <f t="shared" si="2"/>
        <v>-8.2540665424762905E-3</v>
      </c>
    </row>
    <row r="161" spans="2:7" x14ac:dyDescent="0.3">
      <c r="B161" s="7">
        <v>45890</v>
      </c>
      <c r="C161">
        <f>_xlfn.IFNA(VLOOKUP(B161,Price_Data!A:B,2,FALSE),C160)</f>
        <v>224.9</v>
      </c>
      <c r="D161">
        <f>_xlfn.IFNA(VLOOKUP(B161,Price_Data!C:D,2,FALSE),D160)</f>
        <v>174.98</v>
      </c>
      <c r="E161">
        <f>_xlfn.IFNA(VLOOKUP(B161,Price_Data!E:F,2,FALSE),E160)</f>
        <v>504.24</v>
      </c>
      <c r="F161" s="9">
        <f>SUMPRODUCT(C161:E161,Portfolio_Input!$C$5:$E$5)</f>
        <v>38002.400000000001</v>
      </c>
      <c r="G161">
        <f t="shared" si="2"/>
        <v>-3.0418420524497281E-3</v>
      </c>
    </row>
    <row r="162" spans="2:7" x14ac:dyDescent="0.3">
      <c r="B162" s="7">
        <v>45891</v>
      </c>
      <c r="C162">
        <f>_xlfn.IFNA(VLOOKUP(B162,Price_Data!A:B,2,FALSE),C161)</f>
        <v>227.76</v>
      </c>
      <c r="D162">
        <f>_xlfn.IFNA(VLOOKUP(B162,Price_Data!C:D,2,FALSE),D161)</f>
        <v>177.99</v>
      </c>
      <c r="E162">
        <f>_xlfn.IFNA(VLOOKUP(B162,Price_Data!E:F,2,FALSE),E161)</f>
        <v>507.23</v>
      </c>
      <c r="F162" s="9">
        <f>SUMPRODUCT(C162:E162,Portfolio_Input!$C$5:$E$5)</f>
        <v>38299.950000000004</v>
      </c>
      <c r="G162">
        <f t="shared" si="2"/>
        <v>7.8297686461907823E-3</v>
      </c>
    </row>
    <row r="163" spans="2:7" x14ac:dyDescent="0.3">
      <c r="B163" s="7">
        <v>45894</v>
      </c>
      <c r="C163">
        <f>_xlfn.IFNA(VLOOKUP(B163,Price_Data!A:B,2,FALSE),C162)</f>
        <v>227.16</v>
      </c>
      <c r="D163">
        <f>_xlfn.IFNA(VLOOKUP(B163,Price_Data!C:D,2,FALSE),D162)</f>
        <v>177.99</v>
      </c>
      <c r="E163">
        <f>_xlfn.IFNA(VLOOKUP(B163,Price_Data!E:F,2,FALSE),E162)</f>
        <v>504.26</v>
      </c>
      <c r="F163" s="9">
        <f>SUMPRODUCT(C163:E163,Portfolio_Input!$C$5:$E$5)</f>
        <v>38112.75</v>
      </c>
      <c r="G163">
        <f t="shared" si="2"/>
        <v>-4.8877348403850718E-3</v>
      </c>
    </row>
    <row r="164" spans="2:7" x14ac:dyDescent="0.3">
      <c r="B164" s="7">
        <v>45895</v>
      </c>
      <c r="C164">
        <f>_xlfn.IFNA(VLOOKUP(B164,Price_Data!A:B,2,FALSE),C163)</f>
        <v>229.31</v>
      </c>
      <c r="D164">
        <f>_xlfn.IFNA(VLOOKUP(B164,Price_Data!C:D,2,FALSE),D163)</f>
        <v>177.99</v>
      </c>
      <c r="E164">
        <f>_xlfn.IFNA(VLOOKUP(B164,Price_Data!E:F,2,FALSE),E163)</f>
        <v>502.04</v>
      </c>
      <c r="F164" s="9">
        <f>SUMPRODUCT(C164:E164,Portfolio_Input!$C$5:$E$5)</f>
        <v>38011.800000000003</v>
      </c>
      <c r="G164">
        <f t="shared" si="2"/>
        <v>-2.6487199165632358E-3</v>
      </c>
    </row>
    <row r="165" spans="2:7" x14ac:dyDescent="0.3">
      <c r="B165" s="7">
        <v>45896</v>
      </c>
      <c r="C165">
        <f>_xlfn.IFNA(VLOOKUP(B165,Price_Data!A:B,2,FALSE),C164)</f>
        <v>230.49</v>
      </c>
      <c r="D165">
        <f>_xlfn.IFNA(VLOOKUP(B165,Price_Data!C:D,2,FALSE),D164)</f>
        <v>177.99</v>
      </c>
      <c r="E165">
        <f>_xlfn.IFNA(VLOOKUP(B165,Price_Data!E:F,2,FALSE),E164)</f>
        <v>506.74</v>
      </c>
      <c r="F165" s="9">
        <f>SUMPRODUCT(C165:E165,Portfolio_Input!$C$5:$E$5)</f>
        <v>38311.5</v>
      </c>
      <c r="G165">
        <f t="shared" si="2"/>
        <v>7.8843937935062502E-3</v>
      </c>
    </row>
    <row r="166" spans="2:7" x14ac:dyDescent="0.3">
      <c r="B166" s="7">
        <v>45897</v>
      </c>
      <c r="C166">
        <f>_xlfn.IFNA(VLOOKUP(B166,Price_Data!A:B,2,FALSE),C165)</f>
        <v>232.56</v>
      </c>
      <c r="D166">
        <f>_xlfn.IFNA(VLOOKUP(B166,Price_Data!C:D,2,FALSE),D165)</f>
        <v>180.17</v>
      </c>
      <c r="E166">
        <f>_xlfn.IFNA(VLOOKUP(B166,Price_Data!E:F,2,FALSE),E165)</f>
        <v>509.64</v>
      </c>
      <c r="F166" s="9">
        <f>SUMPRODUCT(C166:E166,Portfolio_Input!$C$5:$E$5)</f>
        <v>38571.049999999996</v>
      </c>
      <c r="G166">
        <f t="shared" si="2"/>
        <v>6.7747282147656573E-3</v>
      </c>
    </row>
    <row r="167" spans="2:7" x14ac:dyDescent="0.3">
      <c r="B167" s="7">
        <v>45898</v>
      </c>
      <c r="C167">
        <f>_xlfn.IFNA(VLOOKUP(B167,Price_Data!A:B,2,FALSE),C166)</f>
        <v>232.14</v>
      </c>
      <c r="D167">
        <f>_xlfn.IFNA(VLOOKUP(B167,Price_Data!C:D,2,FALSE),D166)</f>
        <v>174.18</v>
      </c>
      <c r="E167">
        <f>_xlfn.IFNA(VLOOKUP(B167,Price_Data!E:F,2,FALSE),E166)</f>
        <v>506.69</v>
      </c>
      <c r="F167" s="9">
        <f>SUMPRODUCT(C167:E167,Portfolio_Input!$C$5:$E$5)</f>
        <v>38238</v>
      </c>
      <c r="G167">
        <f t="shared" si="2"/>
        <v>-8.6347143777520952E-3</v>
      </c>
    </row>
    <row r="168" spans="2:7" x14ac:dyDescent="0.3">
      <c r="B168" s="7">
        <v>45902</v>
      </c>
      <c r="C168">
        <f>_xlfn.IFNA(VLOOKUP(B168,Price_Data!A:B,2,FALSE),C167)</f>
        <v>229.72</v>
      </c>
      <c r="D168">
        <f>_xlfn.IFNA(VLOOKUP(B168,Price_Data!C:D,2,FALSE),D167)</f>
        <v>170.78</v>
      </c>
      <c r="E168">
        <f>_xlfn.IFNA(VLOOKUP(B168,Price_Data!E:F,2,FALSE),E167)</f>
        <v>505.12</v>
      </c>
      <c r="F168" s="9">
        <f>SUMPRODUCT(C168:E168,Portfolio_Input!$C$5:$E$5)</f>
        <v>38022.5</v>
      </c>
      <c r="G168">
        <f t="shared" si="2"/>
        <v>-5.6357550081070906E-3</v>
      </c>
    </row>
    <row r="169" spans="2:7" x14ac:dyDescent="0.3">
      <c r="B169" s="7">
        <v>45903</v>
      </c>
      <c r="C169">
        <f>_xlfn.IFNA(VLOOKUP(B169,Price_Data!A:B,2,FALSE),C168)</f>
        <v>238.47</v>
      </c>
      <c r="D169">
        <f>_xlfn.IFNA(VLOOKUP(B169,Price_Data!C:D,2,FALSE),D168)</f>
        <v>170.62</v>
      </c>
      <c r="E169">
        <f>_xlfn.IFNA(VLOOKUP(B169,Price_Data!E:F,2,FALSE),E168)</f>
        <v>505.35</v>
      </c>
      <c r="F169" s="9">
        <f>SUMPRODUCT(C169:E169,Portfolio_Input!$C$5:$E$5)</f>
        <v>38163.550000000003</v>
      </c>
      <c r="G169">
        <f t="shared" si="2"/>
        <v>3.7096456045762061E-3</v>
      </c>
    </row>
    <row r="170" spans="2:7" x14ac:dyDescent="0.3">
      <c r="B170" s="7">
        <v>45904</v>
      </c>
      <c r="C170">
        <f>_xlfn.IFNA(VLOOKUP(B170,Price_Data!A:B,2,FALSE),C169)</f>
        <v>239.78</v>
      </c>
      <c r="D170">
        <f>_xlfn.IFNA(VLOOKUP(B170,Price_Data!C:D,2,FALSE),D169)</f>
        <v>171.66</v>
      </c>
      <c r="E170">
        <f>_xlfn.IFNA(VLOOKUP(B170,Price_Data!E:F,2,FALSE),E169)</f>
        <v>507.97</v>
      </c>
      <c r="F170" s="9">
        <f>SUMPRODUCT(C170:E170,Portfolio_Input!$C$5:$E$5)</f>
        <v>38366.400000000001</v>
      </c>
      <c r="G170">
        <f t="shared" si="2"/>
        <v>5.3152812041856734E-3</v>
      </c>
    </row>
    <row r="171" spans="2:7" x14ac:dyDescent="0.3">
      <c r="B171" s="7">
        <v>45905</v>
      </c>
      <c r="C171">
        <f>_xlfn.IFNA(VLOOKUP(B171,Price_Data!A:B,2,FALSE),C170)</f>
        <v>239.69</v>
      </c>
      <c r="D171">
        <f>_xlfn.IFNA(VLOOKUP(B171,Price_Data!C:D,2,FALSE),D170)</f>
        <v>167.02</v>
      </c>
      <c r="E171">
        <f>_xlfn.IFNA(VLOOKUP(B171,Price_Data!E:F,2,FALSE),E170)</f>
        <v>495</v>
      </c>
      <c r="F171" s="9">
        <f>SUMPRODUCT(C171:E171,Portfolio_Input!$C$5:$E$5)</f>
        <v>37470.85</v>
      </c>
      <c r="G171">
        <f t="shared" si="2"/>
        <v>-2.3342038867342318E-2</v>
      </c>
    </row>
    <row r="172" spans="2:7" x14ac:dyDescent="0.3">
      <c r="B172" s="7">
        <v>45908</v>
      </c>
      <c r="C172">
        <f>_xlfn.IFNA(VLOOKUP(B172,Price_Data!A:B,2,FALSE),C171)</f>
        <v>237.88</v>
      </c>
      <c r="D172">
        <f>_xlfn.IFNA(VLOOKUP(B172,Price_Data!C:D,2,FALSE),D171)</f>
        <v>168.31</v>
      </c>
      <c r="E172">
        <f>_xlfn.IFNA(VLOOKUP(B172,Price_Data!E:F,2,FALSE),E171)</f>
        <v>498.2</v>
      </c>
      <c r="F172" s="9">
        <f>SUMPRODUCT(C172:E172,Portfolio_Input!$C$5:$E$5)</f>
        <v>37667.949999999997</v>
      </c>
      <c r="G172">
        <f t="shared" si="2"/>
        <v>5.2600888423934844E-3</v>
      </c>
    </row>
    <row r="173" spans="2:7" x14ac:dyDescent="0.3">
      <c r="B173" s="7">
        <v>45909</v>
      </c>
      <c r="C173">
        <f>_xlfn.IFNA(VLOOKUP(B173,Price_Data!A:B,2,FALSE),C172)</f>
        <v>234.35</v>
      </c>
      <c r="D173">
        <f>_xlfn.IFNA(VLOOKUP(B173,Price_Data!C:D,2,FALSE),D172)</f>
        <v>170.76</v>
      </c>
      <c r="E173">
        <f>_xlfn.IFNA(VLOOKUP(B173,Price_Data!E:F,2,FALSE),E172)</f>
        <v>498.41</v>
      </c>
      <c r="F173" s="9">
        <f>SUMPRODUCT(C173:E173,Portfolio_Input!$C$5:$E$5)</f>
        <v>37688.850000000006</v>
      </c>
      <c r="G173">
        <f t="shared" si="2"/>
        <v>5.5484835251218279E-4</v>
      </c>
    </row>
    <row r="174" spans="2:7" x14ac:dyDescent="0.3">
      <c r="B174" s="7">
        <v>45910</v>
      </c>
      <c r="C174">
        <f>_xlfn.IFNA(VLOOKUP(B174,Price_Data!A:B,2,FALSE),C173)</f>
        <v>226.79</v>
      </c>
      <c r="D174">
        <f>_xlfn.IFNA(VLOOKUP(B174,Price_Data!C:D,2,FALSE),D173)</f>
        <v>177.33</v>
      </c>
      <c r="E174">
        <f>_xlfn.IFNA(VLOOKUP(B174,Price_Data!E:F,2,FALSE),E173)</f>
        <v>500.37</v>
      </c>
      <c r="F174" s="9">
        <f>SUMPRODUCT(C174:E174,Portfolio_Input!$C$5:$E$5)</f>
        <v>37857.300000000003</v>
      </c>
      <c r="G174">
        <f t="shared" si="2"/>
        <v>4.4694916401004647E-3</v>
      </c>
    </row>
    <row r="175" spans="2:7" x14ac:dyDescent="0.3">
      <c r="B175" s="7">
        <v>45911</v>
      </c>
      <c r="C175">
        <f>_xlfn.IFNA(VLOOKUP(B175,Price_Data!A:B,2,FALSE),C174)</f>
        <v>230.03</v>
      </c>
      <c r="D175">
        <f>_xlfn.IFNA(VLOOKUP(B175,Price_Data!C:D,2,FALSE),D174)</f>
        <v>177.17</v>
      </c>
      <c r="E175">
        <f>_xlfn.IFNA(VLOOKUP(B175,Price_Data!E:F,2,FALSE),E174)</f>
        <v>501.01</v>
      </c>
      <c r="F175" s="9">
        <f>SUMPRODUCT(C175:E175,Portfolio_Input!$C$5:$E$5)</f>
        <v>37940.299999999996</v>
      </c>
      <c r="G175">
        <f t="shared" si="2"/>
        <v>2.192443729478688E-3</v>
      </c>
    </row>
    <row r="176" spans="2:7" x14ac:dyDescent="0.3">
      <c r="B176" s="7">
        <v>45912</v>
      </c>
      <c r="C176">
        <f>_xlfn.IFNA(VLOOKUP(B176,Price_Data!A:B,2,FALSE),C175)</f>
        <v>234.07</v>
      </c>
      <c r="D176">
        <f>_xlfn.IFNA(VLOOKUP(B176,Price_Data!C:D,2,FALSE),D175)</f>
        <v>177.82</v>
      </c>
      <c r="E176">
        <f>_xlfn.IFNA(VLOOKUP(B176,Price_Data!E:F,2,FALSE),E175)</f>
        <v>509.9</v>
      </c>
      <c r="F176" s="9">
        <f>SUMPRODUCT(C176:E176,Portfolio_Input!$C$5:$E$5)</f>
        <v>38550.550000000003</v>
      </c>
      <c r="G176">
        <f t="shared" si="2"/>
        <v>1.6084480091090647E-2</v>
      </c>
    </row>
    <row r="177" spans="2:7" x14ac:dyDescent="0.3">
      <c r="B177" s="7">
        <v>45915</v>
      </c>
      <c r="C177">
        <f>_xlfn.IFNA(VLOOKUP(B177,Price_Data!A:B,2,FALSE),C176)</f>
        <v>236.7</v>
      </c>
      <c r="D177">
        <f>_xlfn.IFNA(VLOOKUP(B177,Price_Data!C:D,2,FALSE),D176)</f>
        <v>177.75</v>
      </c>
      <c r="E177">
        <f>_xlfn.IFNA(VLOOKUP(B177,Price_Data!E:F,2,FALSE),E176)</f>
        <v>515.36</v>
      </c>
      <c r="F177" s="9">
        <f>SUMPRODUCT(C177:E177,Portfolio_Input!$C$5:$E$5)</f>
        <v>38915.850000000006</v>
      </c>
      <c r="G177">
        <f t="shared" si="2"/>
        <v>9.4758699940726832E-3</v>
      </c>
    </row>
    <row r="178" spans="2:7" x14ac:dyDescent="0.3">
      <c r="B178" s="7">
        <v>45916</v>
      </c>
      <c r="C178">
        <f>_xlfn.IFNA(VLOOKUP(B178,Price_Data!A:B,2,FALSE),C177)</f>
        <v>238.15</v>
      </c>
      <c r="D178">
        <f>_xlfn.IFNA(VLOOKUP(B178,Price_Data!C:D,2,FALSE),D177)</f>
        <v>174.88</v>
      </c>
      <c r="E178">
        <f>_xlfn.IFNA(VLOOKUP(B178,Price_Data!E:F,2,FALSE),E177)</f>
        <v>509.04</v>
      </c>
      <c r="F178" s="9">
        <f>SUMPRODUCT(C178:E178,Portfolio_Input!$C$5:$E$5)</f>
        <v>38486.65</v>
      </c>
      <c r="G178">
        <f t="shared" si="2"/>
        <v>-1.1028925232264064E-2</v>
      </c>
    </row>
    <row r="179" spans="2:7" x14ac:dyDescent="0.3">
      <c r="B179" s="7">
        <v>45917</v>
      </c>
      <c r="C179">
        <f>_xlfn.IFNA(VLOOKUP(B179,Price_Data!A:B,2,FALSE),C178)</f>
        <v>238.99</v>
      </c>
      <c r="D179">
        <f>_xlfn.IFNA(VLOOKUP(B179,Price_Data!C:D,2,FALSE),D178)</f>
        <v>170.29</v>
      </c>
      <c r="E179">
        <f>_xlfn.IFNA(VLOOKUP(B179,Price_Data!E:F,2,FALSE),E178)</f>
        <v>510.02</v>
      </c>
      <c r="F179" s="9">
        <f>SUMPRODUCT(C179:E179,Portfolio_Input!$C$5:$E$5)</f>
        <v>38443.299999999996</v>
      </c>
      <c r="G179">
        <f t="shared" si="2"/>
        <v>-1.1263645965550184E-3</v>
      </c>
    </row>
    <row r="180" spans="2:7" x14ac:dyDescent="0.3">
      <c r="B180" s="7">
        <v>45918</v>
      </c>
      <c r="C180">
        <f>_xlfn.IFNA(VLOOKUP(B180,Price_Data!A:B,2,FALSE),C179)</f>
        <v>237.88</v>
      </c>
      <c r="D180">
        <f>_xlfn.IFNA(VLOOKUP(B180,Price_Data!C:D,2,FALSE),D179)</f>
        <v>176.24</v>
      </c>
      <c r="E180">
        <f>_xlfn.IFNA(VLOOKUP(B180,Price_Data!E:F,2,FALSE),E179)</f>
        <v>508.45</v>
      </c>
      <c r="F180" s="9">
        <f>SUMPRODUCT(C180:E180,Portfolio_Input!$C$5:$E$5)</f>
        <v>38481.199999999997</v>
      </c>
      <c r="G180">
        <f t="shared" si="2"/>
        <v>9.8586749836782062E-4</v>
      </c>
    </row>
    <row r="181" spans="2:7" x14ac:dyDescent="0.3">
      <c r="B181" s="7">
        <v>45919</v>
      </c>
      <c r="C181">
        <f>_xlfn.IFNA(VLOOKUP(B181,Price_Data!A:B,2,FALSE),C180)</f>
        <v>245.5</v>
      </c>
      <c r="D181">
        <f>_xlfn.IFNA(VLOOKUP(B181,Price_Data!C:D,2,FALSE),D180)</f>
        <v>176.67</v>
      </c>
      <c r="E181">
        <f>_xlfn.IFNA(VLOOKUP(B181,Price_Data!E:F,2,FALSE),E180)</f>
        <v>517.92999999999995</v>
      </c>
      <c r="F181" s="9">
        <f>SUMPRODUCT(C181:E181,Portfolio_Input!$C$5:$E$5)</f>
        <v>39175.049999999996</v>
      </c>
      <c r="G181">
        <f t="shared" si="2"/>
        <v>1.8030882612808385E-2</v>
      </c>
    </row>
    <row r="182" spans="2:7" x14ac:dyDescent="0.3">
      <c r="B182" s="7">
        <v>45922</v>
      </c>
      <c r="C182">
        <f>_xlfn.IFNA(VLOOKUP(B182,Price_Data!A:B,2,FALSE),C181)</f>
        <v>256.08</v>
      </c>
      <c r="D182">
        <f>_xlfn.IFNA(VLOOKUP(B182,Price_Data!C:D,2,FALSE),D181)</f>
        <v>183.61</v>
      </c>
      <c r="E182">
        <f>_xlfn.IFNA(VLOOKUP(B182,Price_Data!E:F,2,FALSE),E181)</f>
        <v>514.45000000000005</v>
      </c>
      <c r="F182" s="9">
        <f>SUMPRODUCT(C182:E182,Portfolio_Input!$C$5:$E$5)</f>
        <v>39298.450000000004</v>
      </c>
      <c r="G182">
        <f t="shared" si="2"/>
        <v>3.1499640715202393E-3</v>
      </c>
    </row>
    <row r="183" spans="2:7" x14ac:dyDescent="0.3">
      <c r="B183" s="7">
        <v>45923</v>
      </c>
      <c r="C183">
        <f>_xlfn.IFNA(VLOOKUP(B183,Price_Data!A:B,2,FALSE),C182)</f>
        <v>254.43</v>
      </c>
      <c r="D183">
        <f>_xlfn.IFNA(VLOOKUP(B183,Price_Data!C:D,2,FALSE),D182)</f>
        <v>178.43</v>
      </c>
      <c r="E183">
        <f>_xlfn.IFNA(VLOOKUP(B183,Price_Data!E:F,2,FALSE),E182)</f>
        <v>509.23</v>
      </c>
      <c r="F183" s="9">
        <f>SUMPRODUCT(C183:E183,Portfolio_Input!$C$5:$E$5)</f>
        <v>38831</v>
      </c>
      <c r="G183">
        <f t="shared" si="2"/>
        <v>-1.189487117176391E-2</v>
      </c>
    </row>
    <row r="184" spans="2:7" x14ac:dyDescent="0.3">
      <c r="B184" s="7">
        <v>45924</v>
      </c>
      <c r="C184">
        <f>_xlfn.IFNA(VLOOKUP(B184,Price_Data!A:B,2,FALSE),C183)</f>
        <v>252.31</v>
      </c>
      <c r="D184">
        <f>_xlfn.IFNA(VLOOKUP(B184,Price_Data!C:D,2,FALSE),D183)</f>
        <v>176.97</v>
      </c>
      <c r="E184">
        <f>_xlfn.IFNA(VLOOKUP(B184,Price_Data!E:F,2,FALSE),E183)</f>
        <v>510.15</v>
      </c>
      <c r="F184" s="9">
        <f>SUMPRODUCT(C184:E184,Portfolio_Input!$C$5:$E$5)</f>
        <v>38817.9</v>
      </c>
      <c r="G184">
        <f t="shared" si="2"/>
        <v>-3.3735932631140386E-4</v>
      </c>
    </row>
    <row r="185" spans="2:7" x14ac:dyDescent="0.3">
      <c r="B185" s="7">
        <v>45925</v>
      </c>
      <c r="C185">
        <f>_xlfn.IFNA(VLOOKUP(B185,Price_Data!A:B,2,FALSE),C184)</f>
        <v>256.87</v>
      </c>
      <c r="D185">
        <f>_xlfn.IFNA(VLOOKUP(B185,Price_Data!C:D,2,FALSE),D184)</f>
        <v>177.69</v>
      </c>
      <c r="E185">
        <f>_xlfn.IFNA(VLOOKUP(B185,Price_Data!E:F,2,FALSE),E184)</f>
        <v>507.03</v>
      </c>
      <c r="F185" s="9">
        <f>SUMPRODUCT(C185:E185,Portfolio_Input!$C$5:$E$5)</f>
        <v>38717.1</v>
      </c>
      <c r="G185">
        <f t="shared" si="2"/>
        <v>-2.5967401636874943E-3</v>
      </c>
    </row>
    <row r="186" spans="2:7" x14ac:dyDescent="0.3">
      <c r="B186" s="7">
        <v>45926</v>
      </c>
      <c r="C186">
        <f>_xlfn.IFNA(VLOOKUP(B186,Price_Data!A:B,2,FALSE),C185)</f>
        <v>255.46</v>
      </c>
      <c r="D186">
        <f>_xlfn.IFNA(VLOOKUP(B186,Price_Data!C:D,2,FALSE),D185)</f>
        <v>178.19</v>
      </c>
      <c r="E186">
        <f>_xlfn.IFNA(VLOOKUP(B186,Price_Data!E:F,2,FALSE),E185)</f>
        <v>511.46</v>
      </c>
      <c r="F186" s="9">
        <f>SUMPRODUCT(C186:E186,Portfolio_Input!$C$5:$E$5)</f>
        <v>38974.25</v>
      </c>
      <c r="G186">
        <f t="shared" si="2"/>
        <v>6.6417681076320623E-3</v>
      </c>
    </row>
    <row r="187" spans="2:7" x14ac:dyDescent="0.3">
      <c r="B187" s="7">
        <v>45929</v>
      </c>
      <c r="C187">
        <f>_xlfn.IFNA(VLOOKUP(B187,Price_Data!A:B,2,FALSE),C186)</f>
        <v>254.43</v>
      </c>
      <c r="D187">
        <f>_xlfn.IFNA(VLOOKUP(B187,Price_Data!C:D,2,FALSE),D186)</f>
        <v>181.85</v>
      </c>
      <c r="E187">
        <f>_xlfn.IFNA(VLOOKUP(B187,Price_Data!E:F,2,FALSE),E186)</f>
        <v>514.6</v>
      </c>
      <c r="F187" s="9">
        <f>SUMPRODUCT(C187:E187,Portfolio_Input!$C$5:$E$5)</f>
        <v>39238.699999999997</v>
      </c>
      <c r="G187">
        <f t="shared" si="2"/>
        <v>6.7852492350717331E-3</v>
      </c>
    </row>
    <row r="188" spans="2:7" x14ac:dyDescent="0.3">
      <c r="B188" s="7">
        <v>45930</v>
      </c>
      <c r="C188">
        <f>_xlfn.IFNA(VLOOKUP(B188,Price_Data!A:B,2,FALSE),C187)</f>
        <v>254.63</v>
      </c>
      <c r="D188">
        <f>_xlfn.IFNA(VLOOKUP(B188,Price_Data!C:D,2,FALSE),D187)</f>
        <v>186.58</v>
      </c>
      <c r="E188">
        <f>_xlfn.IFNA(VLOOKUP(B188,Price_Data!E:F,2,FALSE),E187)</f>
        <v>517.95000000000005</v>
      </c>
      <c r="F188" s="9">
        <f>SUMPRODUCT(C188:E188,Portfolio_Input!$C$5:$E$5)</f>
        <v>39560.950000000004</v>
      </c>
      <c r="G188">
        <f t="shared" si="2"/>
        <v>8.2125554618273089E-3</v>
      </c>
    </row>
    <row r="189" spans="2:7" x14ac:dyDescent="0.3">
      <c r="B189" s="7">
        <v>45931</v>
      </c>
      <c r="C189">
        <f>_xlfn.IFNA(VLOOKUP(B189,Price_Data!A:B,2,FALSE),C188)</f>
        <v>255.45</v>
      </c>
      <c r="D189">
        <f>_xlfn.IFNA(VLOOKUP(B189,Price_Data!C:D,2,FALSE),D188)</f>
        <v>187.24</v>
      </c>
      <c r="E189">
        <f>_xlfn.IFNA(VLOOKUP(B189,Price_Data!E:F,2,FALSE),E188)</f>
        <v>519.71</v>
      </c>
      <c r="F189" s="9">
        <f>SUMPRODUCT(C189:E189,Portfolio_Input!$C$5:$E$5)</f>
        <v>39695.350000000006</v>
      </c>
      <c r="G189">
        <f t="shared" si="2"/>
        <v>3.3972894988618663E-3</v>
      </c>
    </row>
    <row r="190" spans="2:7" x14ac:dyDescent="0.3">
      <c r="B190" s="7">
        <v>45932</v>
      </c>
      <c r="C190">
        <f>_xlfn.IFNA(VLOOKUP(B190,Price_Data!A:B,2,FALSE),C189)</f>
        <v>257.13</v>
      </c>
      <c r="D190">
        <f>_xlfn.IFNA(VLOOKUP(B190,Price_Data!C:D,2,FALSE),D189)</f>
        <v>188.89</v>
      </c>
      <c r="E190">
        <f>_xlfn.IFNA(VLOOKUP(B190,Price_Data!E:F,2,FALSE),E189)</f>
        <v>515.74</v>
      </c>
      <c r="F190" s="9">
        <f>SUMPRODUCT(C190:E190,Portfolio_Input!$C$5:$E$5)</f>
        <v>39523.600000000006</v>
      </c>
      <c r="G190">
        <f t="shared" si="2"/>
        <v>-4.3267032536556949E-3</v>
      </c>
    </row>
    <row r="191" spans="2:7" x14ac:dyDescent="0.3">
      <c r="B191" s="7">
        <v>45933</v>
      </c>
      <c r="C191">
        <f>_xlfn.IFNA(VLOOKUP(B191,Price_Data!A:B,2,FALSE),C190)</f>
        <v>258.02</v>
      </c>
      <c r="D191">
        <f>_xlfn.IFNA(VLOOKUP(B191,Price_Data!C:D,2,FALSE),D190)</f>
        <v>187.62</v>
      </c>
      <c r="E191">
        <f>_xlfn.IFNA(VLOOKUP(B191,Price_Data!E:F,2,FALSE),E190)</f>
        <v>517.35</v>
      </c>
      <c r="F191" s="9">
        <f>SUMPRODUCT(C191:E191,Portfolio_Input!$C$5:$E$5)</f>
        <v>39601.800000000003</v>
      </c>
      <c r="G191">
        <f t="shared" si="2"/>
        <v>1.9785647056440592E-3</v>
      </c>
    </row>
    <row r="192" spans="2:7" x14ac:dyDescent="0.3">
      <c r="B192" s="7">
        <v>45936</v>
      </c>
      <c r="C192">
        <f>_xlfn.IFNA(VLOOKUP(B192,Price_Data!A:B,2,FALSE),C191)</f>
        <v>256.69</v>
      </c>
      <c r="D192">
        <f>_xlfn.IFNA(VLOOKUP(B192,Price_Data!C:D,2,FALSE),D191)</f>
        <v>185.54</v>
      </c>
      <c r="E192">
        <f>_xlfn.IFNA(VLOOKUP(B192,Price_Data!E:F,2,FALSE),E191)</f>
        <v>528.57000000000005</v>
      </c>
      <c r="F192" s="9">
        <f>SUMPRODUCT(C192:E192,Portfolio_Input!$C$5:$E$5)</f>
        <v>40203.050000000003</v>
      </c>
      <c r="G192">
        <f t="shared" si="2"/>
        <v>1.5182390699412629E-2</v>
      </c>
    </row>
    <row r="193" spans="2:7" x14ac:dyDescent="0.3">
      <c r="B193" s="7">
        <v>45937</v>
      </c>
      <c r="C193">
        <f>_xlfn.IFNA(VLOOKUP(B193,Price_Data!A:B,2,FALSE),C192)</f>
        <v>256.48</v>
      </c>
      <c r="D193">
        <f>_xlfn.IFNA(VLOOKUP(B193,Price_Data!C:D,2,FALSE),D192)</f>
        <v>185.04</v>
      </c>
      <c r="E193">
        <f>_xlfn.IFNA(VLOOKUP(B193,Price_Data!E:F,2,FALSE),E192)</f>
        <v>523.98</v>
      </c>
      <c r="F193" s="9">
        <f>SUMPRODUCT(C193:E193,Portfolio_Input!$C$5:$E$5)</f>
        <v>39912</v>
      </c>
      <c r="G193">
        <f t="shared" si="2"/>
        <v>-7.239500485659689E-3</v>
      </c>
    </row>
    <row r="194" spans="2:7" x14ac:dyDescent="0.3">
      <c r="B194" s="7">
        <v>45938</v>
      </c>
      <c r="C194">
        <f>_xlfn.IFNA(VLOOKUP(B194,Price_Data!A:B,2,FALSE),C193)</f>
        <v>258.06</v>
      </c>
      <c r="D194">
        <f>_xlfn.IFNA(VLOOKUP(B194,Price_Data!C:D,2,FALSE),D193)</f>
        <v>189.11</v>
      </c>
      <c r="E194">
        <f>_xlfn.IFNA(VLOOKUP(B194,Price_Data!E:F,2,FALSE),E193)</f>
        <v>524.85</v>
      </c>
      <c r="F194" s="9">
        <f>SUMPRODUCT(C194:E194,Portfolio_Input!$C$5:$E$5)</f>
        <v>40089.65</v>
      </c>
      <c r="G194">
        <f t="shared" si="2"/>
        <v>4.4510422930448268E-3</v>
      </c>
    </row>
    <row r="195" spans="2:7" x14ac:dyDescent="0.3">
      <c r="B195" s="7">
        <v>45939</v>
      </c>
      <c r="C195">
        <f>_xlfn.IFNA(VLOOKUP(B195,Price_Data!A:B,2,FALSE),C194)</f>
        <v>254.04</v>
      </c>
      <c r="D195">
        <f>_xlfn.IFNA(VLOOKUP(B195,Price_Data!C:D,2,FALSE),D194)</f>
        <v>192.57</v>
      </c>
      <c r="E195">
        <f>_xlfn.IFNA(VLOOKUP(B195,Price_Data!E:F,2,FALSE),E194)</f>
        <v>522.4</v>
      </c>
      <c r="F195" s="9">
        <f>SUMPRODUCT(C195:E195,Portfolio_Input!$C$5:$E$5)</f>
        <v>39968.85</v>
      </c>
      <c r="G195">
        <f t="shared" si="2"/>
        <v>-3.0132465611448778E-3</v>
      </c>
    </row>
    <row r="196" spans="2:7" x14ac:dyDescent="0.3">
      <c r="B196" s="7">
        <v>45940</v>
      </c>
      <c r="C196">
        <f>_xlfn.IFNA(VLOOKUP(B196,Price_Data!A:B,2,FALSE),C195)</f>
        <v>245.27</v>
      </c>
      <c r="D196">
        <f>_xlfn.IFNA(VLOOKUP(B196,Price_Data!C:D,2,FALSE),D195)</f>
        <v>183.16</v>
      </c>
      <c r="E196">
        <f>_xlfn.IFNA(VLOOKUP(B196,Price_Data!E:F,2,FALSE),E195)</f>
        <v>510.96</v>
      </c>
      <c r="F196" s="9">
        <f>SUMPRODUCT(C196:E196,Portfolio_Input!$C$5:$E$5)</f>
        <v>38915.649999999994</v>
      </c>
      <c r="G196">
        <f t="shared" si="2"/>
        <v>-2.6350520467814387E-2</v>
      </c>
    </row>
    <row r="197" spans="2:7" x14ac:dyDescent="0.3">
      <c r="B197" s="7">
        <v>45943</v>
      </c>
      <c r="C197">
        <f>_xlfn.IFNA(VLOOKUP(B197,Price_Data!A:B,2,FALSE),C196)</f>
        <v>247.66</v>
      </c>
      <c r="D197">
        <f>_xlfn.IFNA(VLOOKUP(B197,Price_Data!C:D,2,FALSE),D196)</f>
        <v>188.32</v>
      </c>
      <c r="E197">
        <f>_xlfn.IFNA(VLOOKUP(B197,Price_Data!E:F,2,FALSE),E196)</f>
        <v>514.04999999999995</v>
      </c>
      <c r="F197" s="9">
        <f>SUMPRODUCT(C197:E197,Portfolio_Input!$C$5:$E$5)</f>
        <v>39265.899999999994</v>
      </c>
      <c r="G197">
        <f t="shared" ref="G197:G252" si="3">F197/F196-1</f>
        <v>9.0002351239153455E-3</v>
      </c>
    </row>
    <row r="198" spans="2:7" x14ac:dyDescent="0.3">
      <c r="B198" s="7">
        <v>45944</v>
      </c>
      <c r="C198">
        <f>_xlfn.IFNA(VLOOKUP(B198,Price_Data!A:B,2,FALSE),C197)</f>
        <v>247.77</v>
      </c>
      <c r="D198">
        <f>_xlfn.IFNA(VLOOKUP(B198,Price_Data!C:D,2,FALSE),D197)</f>
        <v>180.03</v>
      </c>
      <c r="E198">
        <f>_xlfn.IFNA(VLOOKUP(B198,Price_Data!E:F,2,FALSE),E197)</f>
        <v>513.57000000000005</v>
      </c>
      <c r="F198" s="9">
        <f>SUMPRODUCT(C198:E198,Portfolio_Input!$C$5:$E$5)</f>
        <v>39031.5</v>
      </c>
      <c r="G198">
        <f t="shared" si="3"/>
        <v>-5.9695562816589609E-3</v>
      </c>
    </row>
    <row r="199" spans="2:7" x14ac:dyDescent="0.3">
      <c r="B199" s="7">
        <v>45945</v>
      </c>
      <c r="C199">
        <f>_xlfn.IFNA(VLOOKUP(B199,Price_Data!A:B,2,FALSE),C198)</f>
        <v>249.34</v>
      </c>
      <c r="D199">
        <f>_xlfn.IFNA(VLOOKUP(B199,Price_Data!C:D,2,FALSE),D198)</f>
        <v>179.83</v>
      </c>
      <c r="E199">
        <f>_xlfn.IFNA(VLOOKUP(B199,Price_Data!E:F,2,FALSE),E198)</f>
        <v>513.42999999999995</v>
      </c>
      <c r="F199" s="9">
        <f>SUMPRODUCT(C199:E199,Portfolio_Input!$C$5:$E$5)</f>
        <v>39041.649999999994</v>
      </c>
      <c r="G199">
        <f t="shared" si="3"/>
        <v>2.600463728013036E-4</v>
      </c>
    </row>
    <row r="200" spans="2:7" x14ac:dyDescent="0.3">
      <c r="B200" s="7">
        <v>45946</v>
      </c>
      <c r="C200">
        <f>_xlfn.IFNA(VLOOKUP(B200,Price_Data!A:B,2,FALSE),C199)</f>
        <v>247.45</v>
      </c>
      <c r="D200">
        <f>_xlfn.IFNA(VLOOKUP(B200,Price_Data!C:D,2,FALSE),D199)</f>
        <v>181.81</v>
      </c>
      <c r="E200">
        <f>_xlfn.IFNA(VLOOKUP(B200,Price_Data!E:F,2,FALSE),E199)</f>
        <v>511.61</v>
      </c>
      <c r="F200" s="9">
        <f>SUMPRODUCT(C200:E200,Portfolio_Input!$C$5:$E$5)</f>
        <v>38953.600000000006</v>
      </c>
      <c r="G200">
        <f t="shared" si="3"/>
        <v>-2.2552837802702896E-3</v>
      </c>
    </row>
    <row r="201" spans="2:7" x14ac:dyDescent="0.3">
      <c r="B201" s="7">
        <v>45947</v>
      </c>
      <c r="C201">
        <f>_xlfn.IFNA(VLOOKUP(B201,Price_Data!A:B,2,FALSE),C200)</f>
        <v>252.29</v>
      </c>
      <c r="D201">
        <f>_xlfn.IFNA(VLOOKUP(B201,Price_Data!C:D,2,FALSE),D200)</f>
        <v>183.22</v>
      </c>
      <c r="E201">
        <f>_xlfn.IFNA(VLOOKUP(B201,Price_Data!E:F,2,FALSE),E200)</f>
        <v>513.58000000000004</v>
      </c>
      <c r="F201" s="9">
        <f>SUMPRODUCT(C201:E201,Portfolio_Input!$C$5:$E$5)</f>
        <v>39179.65</v>
      </c>
      <c r="G201">
        <f t="shared" si="3"/>
        <v>5.8030579972068175E-3</v>
      </c>
    </row>
    <row r="202" spans="2:7" x14ac:dyDescent="0.3">
      <c r="B202" s="7">
        <v>45950</v>
      </c>
      <c r="C202">
        <f>_xlfn.IFNA(VLOOKUP(B202,Price_Data!A:B,2,FALSE),C201)</f>
        <v>262.24</v>
      </c>
      <c r="D202">
        <f>_xlfn.IFNA(VLOOKUP(B202,Price_Data!C:D,2,FALSE),D201)</f>
        <v>182.64</v>
      </c>
      <c r="E202">
        <f>_xlfn.IFNA(VLOOKUP(B202,Price_Data!E:F,2,FALSE),E201)</f>
        <v>516.79</v>
      </c>
      <c r="F202" s="9">
        <f>SUMPRODUCT(C202:E202,Portfolio_Input!$C$5:$E$5)</f>
        <v>39507</v>
      </c>
      <c r="G202">
        <f t="shared" si="3"/>
        <v>8.3551027127601873E-3</v>
      </c>
    </row>
    <row r="203" spans="2:7" x14ac:dyDescent="0.3">
      <c r="B203" s="7">
        <v>45951</v>
      </c>
      <c r="C203">
        <f>_xlfn.IFNA(VLOOKUP(B203,Price_Data!A:B,2,FALSE),C202)</f>
        <v>262.77</v>
      </c>
      <c r="D203">
        <f>_xlfn.IFNA(VLOOKUP(B203,Price_Data!C:D,2,FALSE),D202)</f>
        <v>181.16</v>
      </c>
      <c r="E203">
        <f>_xlfn.IFNA(VLOOKUP(B203,Price_Data!E:F,2,FALSE),E202)</f>
        <v>517.66</v>
      </c>
      <c r="F203" s="9">
        <f>SUMPRODUCT(C203:E203,Portfolio_Input!$C$5:$E$5)</f>
        <v>39530.149999999994</v>
      </c>
      <c r="G203">
        <f t="shared" si="3"/>
        <v>5.8597210620892071E-4</v>
      </c>
    </row>
    <row r="204" spans="2:7" x14ac:dyDescent="0.3">
      <c r="B204" s="7">
        <v>45952</v>
      </c>
      <c r="C204">
        <f>_xlfn.IFNA(VLOOKUP(B204,Price_Data!A:B,2,FALSE),C203)</f>
        <v>258.45</v>
      </c>
      <c r="D204">
        <f>_xlfn.IFNA(VLOOKUP(B204,Price_Data!C:D,2,FALSE),D203)</f>
        <v>180.28</v>
      </c>
      <c r="E204">
        <f>_xlfn.IFNA(VLOOKUP(B204,Price_Data!E:F,2,FALSE),E203)</f>
        <v>520.54</v>
      </c>
      <c r="F204" s="9">
        <f>SUMPRODUCT(C204:E204,Portfolio_Input!$C$5:$E$5)</f>
        <v>39616.149999999994</v>
      </c>
      <c r="G204">
        <f t="shared" si="3"/>
        <v>2.1755546083179755E-3</v>
      </c>
    </row>
    <row r="205" spans="2:7" x14ac:dyDescent="0.3">
      <c r="B205" s="7">
        <v>45953</v>
      </c>
      <c r="C205">
        <f>_xlfn.IFNA(VLOOKUP(B205,Price_Data!A:B,2,FALSE),C204)</f>
        <v>259.58</v>
      </c>
      <c r="D205">
        <f>_xlfn.IFNA(VLOOKUP(B205,Price_Data!C:D,2,FALSE),D204)</f>
        <v>182.16</v>
      </c>
      <c r="E205">
        <f>_xlfn.IFNA(VLOOKUP(B205,Price_Data!E:F,2,FALSE),E204)</f>
        <v>520.55999999999995</v>
      </c>
      <c r="F205" s="9">
        <f>SUMPRODUCT(C205:E205,Portfolio_Input!$C$5:$E$5)</f>
        <v>39681.300000000003</v>
      </c>
      <c r="G205">
        <f t="shared" si="3"/>
        <v>1.6445313338122602E-3</v>
      </c>
    </row>
    <row r="206" spans="2:7" x14ac:dyDescent="0.3">
      <c r="B206" s="7">
        <v>45954</v>
      </c>
      <c r="C206">
        <f>_xlfn.IFNA(VLOOKUP(B206,Price_Data!A:B,2,FALSE),C205)</f>
        <v>262.82</v>
      </c>
      <c r="D206">
        <f>_xlfn.IFNA(VLOOKUP(B206,Price_Data!C:D,2,FALSE),D205)</f>
        <v>186.26</v>
      </c>
      <c r="E206">
        <f>_xlfn.IFNA(VLOOKUP(B206,Price_Data!E:F,2,FALSE),E205)</f>
        <v>523.61</v>
      </c>
      <c r="F206" s="9">
        <f>SUMPRODUCT(C206:E206,Portfolio_Input!$C$5:$E$5)</f>
        <v>40015.4</v>
      </c>
      <c r="G206">
        <f t="shared" si="3"/>
        <v>8.4195830277737915E-3</v>
      </c>
    </row>
    <row r="207" spans="2:7" x14ac:dyDescent="0.3">
      <c r="B207" s="7">
        <v>45957</v>
      </c>
      <c r="C207">
        <f>_xlfn.IFNA(VLOOKUP(B207,Price_Data!A:B,2,FALSE),C206)</f>
        <v>268.81</v>
      </c>
      <c r="D207">
        <f>_xlfn.IFNA(VLOOKUP(B207,Price_Data!C:D,2,FALSE),D206)</f>
        <v>191.49</v>
      </c>
      <c r="E207">
        <f>_xlfn.IFNA(VLOOKUP(B207,Price_Data!E:F,2,FALSE),E206)</f>
        <v>531.52</v>
      </c>
      <c r="F207" s="9">
        <f>SUMPRODUCT(C207:E207,Portfolio_Input!$C$5:$E$5)</f>
        <v>40710.6</v>
      </c>
      <c r="G207">
        <f t="shared" si="3"/>
        <v>1.7373311275159065E-2</v>
      </c>
    </row>
    <row r="208" spans="2:7" x14ac:dyDescent="0.3">
      <c r="B208" s="7">
        <v>45958</v>
      </c>
      <c r="C208">
        <f>_xlfn.IFNA(VLOOKUP(B208,Price_Data!A:B,2,FALSE),C207)</f>
        <v>269</v>
      </c>
      <c r="D208">
        <f>_xlfn.IFNA(VLOOKUP(B208,Price_Data!C:D,2,FALSE),D207)</f>
        <v>201.03</v>
      </c>
      <c r="E208">
        <f>_xlfn.IFNA(VLOOKUP(B208,Price_Data!E:F,2,FALSE),E207)</f>
        <v>542.07000000000005</v>
      </c>
      <c r="F208" s="9">
        <f>SUMPRODUCT(C208:E208,Portfolio_Input!$C$5:$E$5)</f>
        <v>41584.950000000004</v>
      </c>
      <c r="G208">
        <f t="shared" si="3"/>
        <v>2.1477207410355081E-2</v>
      </c>
    </row>
    <row r="209" spans="2:7" x14ac:dyDescent="0.3">
      <c r="B209" s="7">
        <v>45959</v>
      </c>
      <c r="C209">
        <f>_xlfn.IFNA(VLOOKUP(B209,Price_Data!A:B,2,FALSE),C208)</f>
        <v>269.7</v>
      </c>
      <c r="D209">
        <f>_xlfn.IFNA(VLOOKUP(B209,Price_Data!C:D,2,FALSE),D208)</f>
        <v>207.04</v>
      </c>
      <c r="E209">
        <f>_xlfn.IFNA(VLOOKUP(B209,Price_Data!E:F,2,FALSE),E208)</f>
        <v>541.54999999999995</v>
      </c>
      <c r="F209" s="9">
        <f>SUMPRODUCT(C209:E209,Portfolio_Input!$C$5:$E$5)</f>
        <v>41714.5</v>
      </c>
      <c r="G209">
        <f t="shared" si="3"/>
        <v>3.1153097454728051E-3</v>
      </c>
    </row>
    <row r="210" spans="2:7" x14ac:dyDescent="0.3">
      <c r="B210" s="7">
        <v>45960</v>
      </c>
      <c r="C210">
        <f>_xlfn.IFNA(VLOOKUP(B210,Price_Data!A:B,2,FALSE),C209)</f>
        <v>271.39999999999998</v>
      </c>
      <c r="D210">
        <f>_xlfn.IFNA(VLOOKUP(B210,Price_Data!C:D,2,FALSE),D209)</f>
        <v>202.89</v>
      </c>
      <c r="E210">
        <f>_xlfn.IFNA(VLOOKUP(B210,Price_Data!E:F,2,FALSE),E209)</f>
        <v>525.76</v>
      </c>
      <c r="F210" s="9">
        <f>SUMPRODUCT(C210:E210,Portfolio_Input!$C$5:$E$5)</f>
        <v>40688.85</v>
      </c>
      <c r="G210">
        <f t="shared" si="3"/>
        <v>-2.4587373694998194E-2</v>
      </c>
    </row>
    <row r="211" spans="2:7" x14ac:dyDescent="0.3">
      <c r="B211" s="7">
        <v>45961</v>
      </c>
      <c r="C211">
        <f>_xlfn.IFNA(VLOOKUP(B211,Price_Data!A:B,2,FALSE),C210)</f>
        <v>270.37</v>
      </c>
      <c r="D211">
        <f>_xlfn.IFNA(VLOOKUP(B211,Price_Data!C:D,2,FALSE),D210)</f>
        <v>202.49</v>
      </c>
      <c r="E211">
        <f>_xlfn.IFNA(VLOOKUP(B211,Price_Data!E:F,2,FALSE),E210)</f>
        <v>517.80999999999995</v>
      </c>
      <c r="F211" s="9">
        <f>SUMPRODUCT(C211:E211,Portfolio_Input!$C$5:$E$5)</f>
        <v>40186.399999999994</v>
      </c>
      <c r="G211">
        <f t="shared" si="3"/>
        <v>-1.2348591813236443E-2</v>
      </c>
    </row>
    <row r="212" spans="2:7" x14ac:dyDescent="0.3">
      <c r="B212" s="7">
        <v>45964</v>
      </c>
      <c r="C212">
        <f>_xlfn.IFNA(VLOOKUP(B212,Price_Data!A:B,2,FALSE),C211)</f>
        <v>269.05</v>
      </c>
      <c r="D212">
        <f>_xlfn.IFNA(VLOOKUP(B212,Price_Data!C:D,2,FALSE),D211)</f>
        <v>206.88</v>
      </c>
      <c r="E212">
        <f>_xlfn.IFNA(VLOOKUP(B212,Price_Data!E:F,2,FALSE),E211)</f>
        <v>517.03</v>
      </c>
      <c r="F212" s="9">
        <f>SUMPRODUCT(C212:E212,Portfolio_Input!$C$5:$E$5)</f>
        <v>40229.550000000003</v>
      </c>
      <c r="G212">
        <f t="shared" si="3"/>
        <v>1.0737463420462667E-3</v>
      </c>
    </row>
    <row r="213" spans="2:7" x14ac:dyDescent="0.3">
      <c r="B213" s="7">
        <v>45965</v>
      </c>
      <c r="C213">
        <f>_xlfn.IFNA(VLOOKUP(B213,Price_Data!A:B,2,FALSE),C212)</f>
        <v>270.04000000000002</v>
      </c>
      <c r="D213">
        <f>_xlfn.IFNA(VLOOKUP(B213,Price_Data!C:D,2,FALSE),D212)</f>
        <v>198.69</v>
      </c>
      <c r="E213">
        <f>_xlfn.IFNA(VLOOKUP(B213,Price_Data!E:F,2,FALSE),E212)</f>
        <v>514.33000000000004</v>
      </c>
      <c r="F213" s="9">
        <f>SUMPRODUCT(C213:E213,Portfolio_Input!$C$5:$E$5)</f>
        <v>39877.65</v>
      </c>
      <c r="G213">
        <f t="shared" si="3"/>
        <v>-8.747301423953302E-3</v>
      </c>
    </row>
    <row r="214" spans="2:7" x14ac:dyDescent="0.3">
      <c r="B214" s="7">
        <v>45966</v>
      </c>
      <c r="C214">
        <f>_xlfn.IFNA(VLOOKUP(B214,Price_Data!A:B,2,FALSE),C213)</f>
        <v>270.14</v>
      </c>
      <c r="D214">
        <f>_xlfn.IFNA(VLOOKUP(B214,Price_Data!C:D,2,FALSE),D213)</f>
        <v>195.21</v>
      </c>
      <c r="E214">
        <f>_xlfn.IFNA(VLOOKUP(B214,Price_Data!E:F,2,FALSE),E213)</f>
        <v>507.16</v>
      </c>
      <c r="F214" s="9">
        <f>SUMPRODUCT(C214:E214,Portfolio_Input!$C$5:$E$5)</f>
        <v>39361.950000000004</v>
      </c>
      <c r="G214">
        <f t="shared" si="3"/>
        <v>-1.2932055926063724E-2</v>
      </c>
    </row>
    <row r="215" spans="2:7" x14ac:dyDescent="0.3">
      <c r="B215" s="7">
        <v>45967</v>
      </c>
      <c r="C215">
        <f>_xlfn.IFNA(VLOOKUP(B215,Price_Data!A:B,2,FALSE),C214)</f>
        <v>269.77</v>
      </c>
      <c r="D215">
        <f>_xlfn.IFNA(VLOOKUP(B215,Price_Data!C:D,2,FALSE),D214)</f>
        <v>188.08</v>
      </c>
      <c r="E215">
        <f>_xlfn.IFNA(VLOOKUP(B215,Price_Data!E:F,2,FALSE),E214)</f>
        <v>497.1</v>
      </c>
      <c r="F215" s="9">
        <f>SUMPRODUCT(C215:E215,Portfolio_Input!$C$5:$E$5)</f>
        <v>38574.550000000003</v>
      </c>
      <c r="G215">
        <f t="shared" si="3"/>
        <v>-2.0004090244512773E-2</v>
      </c>
    </row>
    <row r="216" spans="2:7" x14ac:dyDescent="0.3">
      <c r="B216" s="7">
        <v>45968</v>
      </c>
      <c r="C216">
        <f>_xlfn.IFNA(VLOOKUP(B216,Price_Data!A:B,2,FALSE),C215)</f>
        <v>268.47000000000003</v>
      </c>
      <c r="D216">
        <f>_xlfn.IFNA(VLOOKUP(B216,Price_Data!C:D,2,FALSE),D215)</f>
        <v>188.15</v>
      </c>
      <c r="E216">
        <f>_xlfn.IFNA(VLOOKUP(B216,Price_Data!E:F,2,FALSE),E215)</f>
        <v>496.82</v>
      </c>
      <c r="F216" s="9">
        <f>SUMPRODUCT(C216:E216,Portfolio_Input!$C$5:$E$5)</f>
        <v>38540</v>
      </c>
      <c r="G216">
        <f t="shared" si="3"/>
        <v>-8.9566825795772687E-4</v>
      </c>
    </row>
    <row r="217" spans="2:7" x14ac:dyDescent="0.3">
      <c r="B217" s="7">
        <v>45971</v>
      </c>
      <c r="C217">
        <f>_xlfn.IFNA(VLOOKUP(B217,Price_Data!A:B,2,FALSE),C216)</f>
        <v>269.43</v>
      </c>
      <c r="D217">
        <f>_xlfn.IFNA(VLOOKUP(B217,Price_Data!C:D,2,FALSE),D216)</f>
        <v>199.05</v>
      </c>
      <c r="E217">
        <f>_xlfn.IFNA(VLOOKUP(B217,Price_Data!E:F,2,FALSE),E216)</f>
        <v>506</v>
      </c>
      <c r="F217" s="9">
        <f>SUMPRODUCT(C217:E217,Portfolio_Input!$C$5:$E$5)</f>
        <v>39377.699999999997</v>
      </c>
      <c r="G217">
        <f t="shared" si="3"/>
        <v>2.1735858847950151E-2</v>
      </c>
    </row>
    <row r="218" spans="2:7" x14ac:dyDescent="0.3">
      <c r="B218" s="7">
        <v>45972</v>
      </c>
      <c r="C218">
        <f>_xlfn.IFNA(VLOOKUP(B218,Price_Data!A:B,2,FALSE),C217)</f>
        <v>275.25</v>
      </c>
      <c r="D218">
        <f>_xlfn.IFNA(VLOOKUP(B218,Price_Data!C:D,2,FALSE),D217)</f>
        <v>193.16</v>
      </c>
      <c r="E218">
        <f>_xlfn.IFNA(VLOOKUP(B218,Price_Data!E:F,2,FALSE),E217)</f>
        <v>508.68</v>
      </c>
      <c r="F218" s="9">
        <f>SUMPRODUCT(C218:E218,Portfolio_Input!$C$5:$E$5)</f>
        <v>39478.550000000003</v>
      </c>
      <c r="G218">
        <f t="shared" si="3"/>
        <v>2.5610942233804668E-3</v>
      </c>
    </row>
    <row r="219" spans="2:7" x14ac:dyDescent="0.3">
      <c r="B219" s="7">
        <v>45973</v>
      </c>
      <c r="C219">
        <f>_xlfn.IFNA(VLOOKUP(B219,Price_Data!A:B,2,FALSE),C218)</f>
        <v>273.47000000000003</v>
      </c>
      <c r="D219">
        <f>_xlfn.IFNA(VLOOKUP(B219,Price_Data!C:D,2,FALSE),D218)</f>
        <v>193.8</v>
      </c>
      <c r="E219">
        <f>_xlfn.IFNA(VLOOKUP(B219,Price_Data!E:F,2,FALSE),E218)</f>
        <v>511.14</v>
      </c>
      <c r="F219" s="9">
        <f>SUMPRODUCT(C219:E219,Portfolio_Input!$C$5:$E$5)</f>
        <v>39615.449999999997</v>
      </c>
      <c r="G219">
        <f t="shared" si="3"/>
        <v>3.4677058807883743E-3</v>
      </c>
    </row>
    <row r="220" spans="2:7" x14ac:dyDescent="0.3">
      <c r="B220" s="7">
        <v>45974</v>
      </c>
      <c r="C220">
        <f>_xlfn.IFNA(VLOOKUP(B220,Price_Data!A:B,2,FALSE),C219)</f>
        <v>272.95</v>
      </c>
      <c r="D220">
        <f>_xlfn.IFNA(VLOOKUP(B220,Price_Data!C:D,2,FALSE),D219)</f>
        <v>186.86</v>
      </c>
      <c r="E220">
        <f>_xlfn.IFNA(VLOOKUP(B220,Price_Data!E:F,2,FALSE),E219)</f>
        <v>503.29</v>
      </c>
      <c r="F220" s="9">
        <f>SUMPRODUCT(C220:E220,Portfolio_Input!$C$5:$E$5)</f>
        <v>38963.15</v>
      </c>
      <c r="G220">
        <f t="shared" si="3"/>
        <v>-1.6465798066158444E-2</v>
      </c>
    </row>
    <row r="221" spans="2:7" x14ac:dyDescent="0.3">
      <c r="B221" s="7">
        <v>45975</v>
      </c>
      <c r="C221">
        <f>_xlfn.IFNA(VLOOKUP(B221,Price_Data!A:B,2,FALSE),C220)</f>
        <v>272.41000000000003</v>
      </c>
      <c r="D221">
        <f>_xlfn.IFNA(VLOOKUP(B221,Price_Data!C:D,2,FALSE),D220)</f>
        <v>190.17</v>
      </c>
      <c r="E221">
        <f>_xlfn.IFNA(VLOOKUP(B221,Price_Data!E:F,2,FALSE),E220)</f>
        <v>510.18</v>
      </c>
      <c r="F221" s="9">
        <f>SUMPRODUCT(C221:E221,Portfolio_Input!$C$5:$E$5)</f>
        <v>39451.199999999997</v>
      </c>
      <c r="G221">
        <f t="shared" si="3"/>
        <v>1.2525937969594336E-2</v>
      </c>
    </row>
    <row r="222" spans="2:7" x14ac:dyDescent="0.3">
      <c r="B222" s="7">
        <v>45978</v>
      </c>
      <c r="C222">
        <f>_xlfn.IFNA(VLOOKUP(B222,Price_Data!A:B,2,FALSE),C221)</f>
        <v>267.45999999999998</v>
      </c>
      <c r="D222">
        <f>_xlfn.IFNA(VLOOKUP(B222,Price_Data!C:D,2,FALSE),D221)</f>
        <v>186.6</v>
      </c>
      <c r="E222">
        <f>_xlfn.IFNA(VLOOKUP(B222,Price_Data!E:F,2,FALSE),E221)</f>
        <v>507.49</v>
      </c>
      <c r="F222" s="9">
        <f>SUMPRODUCT(C222:E222,Portfolio_Input!$C$5:$E$5)</f>
        <v>39126.300000000003</v>
      </c>
      <c r="G222">
        <f t="shared" si="3"/>
        <v>-8.2354909356368022E-3</v>
      </c>
    </row>
    <row r="223" spans="2:7" x14ac:dyDescent="0.3">
      <c r="B223" s="7">
        <v>45979</v>
      </c>
      <c r="C223">
        <f>_xlfn.IFNA(VLOOKUP(B223,Price_Data!A:B,2,FALSE),C222)</f>
        <v>267.44</v>
      </c>
      <c r="D223">
        <f>_xlfn.IFNA(VLOOKUP(B223,Price_Data!C:D,2,FALSE),D222)</f>
        <v>181.36</v>
      </c>
      <c r="E223">
        <f>_xlfn.IFNA(VLOOKUP(B223,Price_Data!E:F,2,FALSE),E222)</f>
        <v>493.79</v>
      </c>
      <c r="F223" s="9">
        <f>SUMPRODUCT(C223:E223,Portfolio_Input!$C$5:$E$5)</f>
        <v>38173</v>
      </c>
      <c r="G223">
        <f t="shared" si="3"/>
        <v>-2.4364685646227846E-2</v>
      </c>
    </row>
    <row r="224" spans="2:7" x14ac:dyDescent="0.3">
      <c r="B224" s="7">
        <v>45980</v>
      </c>
      <c r="C224">
        <f>_xlfn.IFNA(VLOOKUP(B224,Price_Data!A:B,2,FALSE),C223)</f>
        <v>268.56</v>
      </c>
      <c r="D224">
        <f>_xlfn.IFNA(VLOOKUP(B224,Price_Data!C:D,2,FALSE),D223)</f>
        <v>186.52</v>
      </c>
      <c r="E224">
        <f>_xlfn.IFNA(VLOOKUP(B224,Price_Data!E:F,2,FALSE),E223)</f>
        <v>487.12</v>
      </c>
      <c r="F224" s="9">
        <f>SUMPRODUCT(C224:E224,Portfolio_Input!$C$5:$E$5)</f>
        <v>37918.6</v>
      </c>
      <c r="G224">
        <f t="shared" si="3"/>
        <v>-6.6643963010505347E-3</v>
      </c>
    </row>
    <row r="225" spans="2:7" x14ac:dyDescent="0.3">
      <c r="B225" s="7">
        <v>45981</v>
      </c>
      <c r="C225">
        <f>_xlfn.IFNA(VLOOKUP(B225,Price_Data!A:B,2,FALSE),C224)</f>
        <v>266.25</v>
      </c>
      <c r="D225">
        <f>_xlfn.IFNA(VLOOKUP(B225,Price_Data!C:D,2,FALSE),D224)</f>
        <v>180.64</v>
      </c>
      <c r="E225">
        <f>_xlfn.IFNA(VLOOKUP(B225,Price_Data!E:F,2,FALSE),E224)</f>
        <v>478.43</v>
      </c>
      <c r="F225" s="9">
        <f>SUMPRODUCT(C225:E225,Portfolio_Input!$C$5:$E$5)</f>
        <v>37215.550000000003</v>
      </c>
      <c r="G225">
        <f t="shared" si="3"/>
        <v>-1.8541032633061283E-2</v>
      </c>
    </row>
    <row r="226" spans="2:7" x14ac:dyDescent="0.3">
      <c r="B226" s="7">
        <v>45982</v>
      </c>
      <c r="C226">
        <f>_xlfn.IFNA(VLOOKUP(B226,Price_Data!A:B,2,FALSE),C225)</f>
        <v>271.49</v>
      </c>
      <c r="D226">
        <f>_xlfn.IFNA(VLOOKUP(B226,Price_Data!C:D,2,FALSE),D225)</f>
        <v>178.88</v>
      </c>
      <c r="E226">
        <f>_xlfn.IFNA(VLOOKUP(B226,Price_Data!E:F,2,FALSE),E225)</f>
        <v>472.12</v>
      </c>
      <c r="F226" s="9">
        <f>SUMPRODUCT(C226:E226,Portfolio_Input!$C$5:$E$5)</f>
        <v>36871.550000000003</v>
      </c>
      <c r="G226">
        <f t="shared" si="3"/>
        <v>-9.2434479673146885E-3</v>
      </c>
    </row>
    <row r="227" spans="2:7" x14ac:dyDescent="0.3">
      <c r="B227" s="7">
        <v>45985</v>
      </c>
      <c r="C227">
        <f>_xlfn.IFNA(VLOOKUP(B227,Price_Data!A:B,2,FALSE),C226)</f>
        <v>275.92</v>
      </c>
      <c r="D227">
        <f>_xlfn.IFNA(VLOOKUP(B227,Price_Data!C:D,2,FALSE),D226)</f>
        <v>182.55</v>
      </c>
      <c r="E227">
        <f>_xlfn.IFNA(VLOOKUP(B227,Price_Data!E:F,2,FALSE),E226)</f>
        <v>474</v>
      </c>
      <c r="F227" s="9">
        <f>SUMPRODUCT(C227:E227,Portfolio_Input!$C$5:$E$5)</f>
        <v>37142.550000000003</v>
      </c>
      <c r="G227">
        <f t="shared" si="3"/>
        <v>7.3498401884379838E-3</v>
      </c>
    </row>
    <row r="228" spans="2:7" x14ac:dyDescent="0.3">
      <c r="B228" s="7">
        <v>45986</v>
      </c>
      <c r="C228">
        <f>_xlfn.IFNA(VLOOKUP(B228,Price_Data!A:B,2,FALSE),C227)</f>
        <v>276.97000000000003</v>
      </c>
      <c r="D228">
        <f>_xlfn.IFNA(VLOOKUP(B228,Price_Data!C:D,2,FALSE),D227)</f>
        <v>177.82</v>
      </c>
      <c r="E228">
        <f>_xlfn.IFNA(VLOOKUP(B228,Price_Data!E:F,2,FALSE),E227)</f>
        <v>476.99</v>
      </c>
      <c r="F228" s="9">
        <f>SUMPRODUCT(C228:E228,Portfolio_Input!$C$5:$E$5)</f>
        <v>37219.449999999997</v>
      </c>
      <c r="G228">
        <f t="shared" si="3"/>
        <v>2.070401736014249E-3</v>
      </c>
    </row>
    <row r="229" spans="2:7" x14ac:dyDescent="0.3">
      <c r="B229" s="7">
        <v>45987</v>
      </c>
      <c r="C229">
        <f>_xlfn.IFNA(VLOOKUP(B229,Price_Data!A:B,2,FALSE),C228)</f>
        <v>277.55</v>
      </c>
      <c r="D229">
        <f>_xlfn.IFNA(VLOOKUP(B229,Price_Data!C:D,2,FALSE),D228)</f>
        <v>180.26</v>
      </c>
      <c r="E229">
        <f>_xlfn.IFNA(VLOOKUP(B229,Price_Data!E:F,2,FALSE),E228)</f>
        <v>485.5</v>
      </c>
      <c r="F229" s="9">
        <f>SUMPRODUCT(C229:E229,Portfolio_Input!$C$5:$E$5)</f>
        <v>37799.75</v>
      </c>
      <c r="G229">
        <f t="shared" si="3"/>
        <v>1.5591310457301333E-2</v>
      </c>
    </row>
    <row r="230" spans="2:7" x14ac:dyDescent="0.3">
      <c r="B230" s="7">
        <v>45989</v>
      </c>
      <c r="C230">
        <f>_xlfn.IFNA(VLOOKUP(B230,Price_Data!A:B,2,FALSE),C229)</f>
        <v>278.85000000000002</v>
      </c>
      <c r="D230">
        <f>_xlfn.IFNA(VLOOKUP(B230,Price_Data!C:D,2,FALSE),D229)</f>
        <v>177</v>
      </c>
      <c r="E230">
        <f>_xlfn.IFNA(VLOOKUP(B230,Price_Data!E:F,2,FALSE),E229)</f>
        <v>492.01</v>
      </c>
      <c r="F230" s="9">
        <f>SUMPRODUCT(C230:E230,Portfolio_Input!$C$5:$E$5)</f>
        <v>38128.35</v>
      </c>
      <c r="G230">
        <f t="shared" si="3"/>
        <v>8.6931791876929676E-3</v>
      </c>
    </row>
    <row r="231" spans="2:7" x14ac:dyDescent="0.3">
      <c r="B231" s="7">
        <v>45992</v>
      </c>
      <c r="C231">
        <f>_xlfn.IFNA(VLOOKUP(B231,Price_Data!A:B,2,FALSE),C230)</f>
        <v>283.10000000000002</v>
      </c>
      <c r="D231">
        <f>_xlfn.IFNA(VLOOKUP(B231,Price_Data!C:D,2,FALSE),D230)</f>
        <v>179.92</v>
      </c>
      <c r="E231">
        <f>_xlfn.IFNA(VLOOKUP(B231,Price_Data!E:F,2,FALSE),E230)</f>
        <v>486.74</v>
      </c>
      <c r="F231" s="9">
        <f>SUMPRODUCT(C231:E231,Portfolio_Input!$C$5:$E$5)</f>
        <v>37948.9</v>
      </c>
      <c r="G231">
        <f t="shared" si="3"/>
        <v>-4.7064716936346951E-3</v>
      </c>
    </row>
    <row r="232" spans="2:7" x14ac:dyDescent="0.3">
      <c r="B232" s="7">
        <v>45993</v>
      </c>
      <c r="C232">
        <f>_xlfn.IFNA(VLOOKUP(B232,Price_Data!A:B,2,FALSE),C231)</f>
        <v>286.19</v>
      </c>
      <c r="D232">
        <f>_xlfn.IFNA(VLOOKUP(B232,Price_Data!C:D,2,FALSE),D231)</f>
        <v>181.46</v>
      </c>
      <c r="E232">
        <f>_xlfn.IFNA(VLOOKUP(B232,Price_Data!E:F,2,FALSE),E231)</f>
        <v>490</v>
      </c>
      <c r="F232" s="9">
        <f>SUMPRODUCT(C232:E232,Portfolio_Input!$C$5:$E$5)</f>
        <v>38229.35</v>
      </c>
      <c r="G232">
        <f t="shared" si="3"/>
        <v>7.3902010334949697E-3</v>
      </c>
    </row>
    <row r="233" spans="2:7" x14ac:dyDescent="0.3">
      <c r="B233" s="7">
        <v>45994</v>
      </c>
      <c r="C233">
        <f>_xlfn.IFNA(VLOOKUP(B233,Price_Data!A:B,2,FALSE),C232)</f>
        <v>284.14999999999998</v>
      </c>
      <c r="D233">
        <f>_xlfn.IFNA(VLOOKUP(B233,Price_Data!C:D,2,FALSE),D232)</f>
        <v>179.59</v>
      </c>
      <c r="E233">
        <f>_xlfn.IFNA(VLOOKUP(B233,Price_Data!E:F,2,FALSE),E232)</f>
        <v>477.73</v>
      </c>
      <c r="F233" s="9">
        <f>SUMPRODUCT(C233:E233,Portfolio_Input!$C$5:$E$5)</f>
        <v>37415.800000000003</v>
      </c>
      <c r="G233">
        <f t="shared" si="3"/>
        <v>-2.1280769879686523E-2</v>
      </c>
    </row>
    <row r="234" spans="2:7" x14ac:dyDescent="0.3">
      <c r="B234" s="7">
        <v>45995</v>
      </c>
      <c r="C234">
        <f>_xlfn.IFNA(VLOOKUP(B234,Price_Data!A:B,2,FALSE),C233)</f>
        <v>280.7</v>
      </c>
      <c r="D234">
        <f>_xlfn.IFNA(VLOOKUP(B234,Price_Data!C:D,2,FALSE),D233)</f>
        <v>183.38</v>
      </c>
      <c r="E234">
        <f>_xlfn.IFNA(VLOOKUP(B234,Price_Data!E:F,2,FALSE),E233)</f>
        <v>480.84</v>
      </c>
      <c r="F234" s="9">
        <f>SUMPRODUCT(C234:E234,Portfolio_Input!$C$5:$E$5)</f>
        <v>37645.399999999994</v>
      </c>
      <c r="G234">
        <f t="shared" si="3"/>
        <v>6.1364450312433316E-3</v>
      </c>
    </row>
    <row r="235" spans="2:7" x14ac:dyDescent="0.3">
      <c r="B235" s="7">
        <v>45996</v>
      </c>
      <c r="C235">
        <f>_xlfn.IFNA(VLOOKUP(B235,Price_Data!A:B,2,FALSE),C234)</f>
        <v>278.77999999999997</v>
      </c>
      <c r="D235">
        <f>_xlfn.IFNA(VLOOKUP(B235,Price_Data!C:D,2,FALSE),D234)</f>
        <v>182.41</v>
      </c>
      <c r="E235">
        <f>_xlfn.IFNA(VLOOKUP(B235,Price_Data!E:F,2,FALSE),E234)</f>
        <v>483.16</v>
      </c>
      <c r="F235" s="9">
        <f>SUMPRODUCT(C235:E235,Portfolio_Input!$C$5:$E$5)</f>
        <v>37731.550000000003</v>
      </c>
      <c r="G235">
        <f t="shared" si="3"/>
        <v>2.2884602102781759E-3</v>
      </c>
    </row>
    <row r="236" spans="2:7" x14ac:dyDescent="0.3">
      <c r="B236" s="7">
        <v>45999</v>
      </c>
      <c r="C236">
        <f>_xlfn.IFNA(VLOOKUP(B236,Price_Data!A:B,2,FALSE),C235)</f>
        <v>277.89</v>
      </c>
      <c r="D236">
        <f>_xlfn.IFNA(VLOOKUP(B236,Price_Data!C:D,2,FALSE),D235)</f>
        <v>185.55</v>
      </c>
      <c r="E236">
        <f>_xlfn.IFNA(VLOOKUP(B236,Price_Data!E:F,2,FALSE),E235)</f>
        <v>491.02</v>
      </c>
      <c r="F236" s="9">
        <f>SUMPRODUCT(C236:E236,Portfolio_Input!$C$5:$E$5)</f>
        <v>38268.299999999996</v>
      </c>
      <c r="G236">
        <f t="shared" si="3"/>
        <v>1.4225495639590635E-2</v>
      </c>
    </row>
    <row r="237" spans="2:7" x14ac:dyDescent="0.3">
      <c r="B237" s="7">
        <v>46000</v>
      </c>
      <c r="C237">
        <f>_xlfn.IFNA(VLOOKUP(B237,Price_Data!A:B,2,FALSE),C236)</f>
        <v>277.18</v>
      </c>
      <c r="D237">
        <f>_xlfn.IFNA(VLOOKUP(B237,Price_Data!C:D,2,FALSE),D236)</f>
        <v>184.97</v>
      </c>
      <c r="E237">
        <f>_xlfn.IFNA(VLOOKUP(B237,Price_Data!E:F,2,FALSE),E236)</f>
        <v>492.02</v>
      </c>
      <c r="F237" s="9">
        <f>SUMPRODUCT(C237:E237,Portfolio_Input!$C$5:$E$5)</f>
        <v>38303.149999999994</v>
      </c>
      <c r="G237">
        <f t="shared" si="3"/>
        <v>9.1067541542222408E-4</v>
      </c>
    </row>
    <row r="238" spans="2:7" x14ac:dyDescent="0.3">
      <c r="B238" s="7">
        <v>46001</v>
      </c>
      <c r="C238">
        <f>_xlfn.IFNA(VLOOKUP(B238,Price_Data!A:B,2,FALSE),C237)</f>
        <v>278.77999999999997</v>
      </c>
      <c r="D238">
        <f>_xlfn.IFNA(VLOOKUP(B238,Price_Data!C:D,2,FALSE),D237)</f>
        <v>183.78</v>
      </c>
      <c r="E238">
        <f>_xlfn.IFNA(VLOOKUP(B238,Price_Data!E:F,2,FALSE),E237)</f>
        <v>478.56</v>
      </c>
      <c r="F238" s="9">
        <f>SUMPRODUCT(C238:E238,Portfolio_Input!$C$5:$E$5)</f>
        <v>37489.800000000003</v>
      </c>
      <c r="G238">
        <f t="shared" si="3"/>
        <v>-2.1234545983815689E-2</v>
      </c>
    </row>
    <row r="239" spans="2:7" x14ac:dyDescent="0.3">
      <c r="B239" s="7">
        <v>46002</v>
      </c>
      <c r="C239">
        <f>_xlfn.IFNA(VLOOKUP(B239,Price_Data!A:B,2,FALSE),C238)</f>
        <v>278.02999999999997</v>
      </c>
      <c r="D239">
        <f>_xlfn.IFNA(VLOOKUP(B239,Price_Data!C:D,2,FALSE),D238)</f>
        <v>180.93</v>
      </c>
      <c r="E239">
        <f>_xlfn.IFNA(VLOOKUP(B239,Price_Data!E:F,2,FALSE),E238)</f>
        <v>483.47</v>
      </c>
      <c r="F239" s="9">
        <f>SUMPRODUCT(C239:E239,Portfolio_Input!$C$5:$E$5)</f>
        <v>37701.9</v>
      </c>
      <c r="G239">
        <f t="shared" si="3"/>
        <v>5.6575388505673008E-3</v>
      </c>
    </row>
    <row r="240" spans="2:7" x14ac:dyDescent="0.3">
      <c r="B240" s="7">
        <v>46003</v>
      </c>
      <c r="C240">
        <f>_xlfn.IFNA(VLOOKUP(B240,Price_Data!A:B,2,FALSE),C239)</f>
        <v>278.27999999999997</v>
      </c>
      <c r="D240">
        <f>_xlfn.IFNA(VLOOKUP(B240,Price_Data!C:D,2,FALSE),D239)</f>
        <v>175.02</v>
      </c>
      <c r="E240">
        <f>_xlfn.IFNA(VLOOKUP(B240,Price_Data!E:F,2,FALSE),E239)</f>
        <v>478.53</v>
      </c>
      <c r="F240" s="9">
        <f>SUMPRODUCT(C240:E240,Portfolio_Input!$C$5:$E$5)</f>
        <v>37261.5</v>
      </c>
      <c r="G240">
        <f t="shared" si="3"/>
        <v>-1.1681108909630589E-2</v>
      </c>
    </row>
    <row r="241" spans="2:7" x14ac:dyDescent="0.3">
      <c r="B241" s="7">
        <v>46006</v>
      </c>
      <c r="C241">
        <f>_xlfn.IFNA(VLOOKUP(B241,Price_Data!A:B,2,FALSE),C240)</f>
        <v>274.11</v>
      </c>
      <c r="D241">
        <f>_xlfn.IFNA(VLOOKUP(B241,Price_Data!C:D,2,FALSE),D240)</f>
        <v>176.29</v>
      </c>
      <c r="E241">
        <f>_xlfn.IFNA(VLOOKUP(B241,Price_Data!E:F,2,FALSE),E240)</f>
        <v>474.82</v>
      </c>
      <c r="F241" s="9">
        <f>SUMPRODUCT(C241:E241,Portfolio_Input!$C$5:$E$5)</f>
        <v>37008.100000000006</v>
      </c>
      <c r="G241">
        <f t="shared" si="3"/>
        <v>-6.8005850542783852E-3</v>
      </c>
    </row>
    <row r="242" spans="2:7" x14ac:dyDescent="0.3">
      <c r="B242" s="7">
        <v>46007</v>
      </c>
      <c r="C242">
        <f>_xlfn.IFNA(VLOOKUP(B242,Price_Data!A:B,2,FALSE),C241)</f>
        <v>274.61</v>
      </c>
      <c r="D242">
        <f>_xlfn.IFNA(VLOOKUP(B242,Price_Data!C:D,2,FALSE),D241)</f>
        <v>177.72</v>
      </c>
      <c r="E242">
        <f>_xlfn.IFNA(VLOOKUP(B242,Price_Data!E:F,2,FALSE),E241)</f>
        <v>476.39</v>
      </c>
      <c r="F242" s="9">
        <f>SUMPRODUCT(C242:E242,Portfolio_Input!$C$5:$E$5)</f>
        <v>37145.550000000003</v>
      </c>
      <c r="G242">
        <f t="shared" si="3"/>
        <v>3.7140517886624647E-3</v>
      </c>
    </row>
    <row r="243" spans="2:7" x14ac:dyDescent="0.3">
      <c r="B243" s="7">
        <v>46008</v>
      </c>
      <c r="C243">
        <f>_xlfn.IFNA(VLOOKUP(B243,Price_Data!A:B,2,FALSE),C242)</f>
        <v>271.83999999999997</v>
      </c>
      <c r="D243">
        <f>_xlfn.IFNA(VLOOKUP(B243,Price_Data!C:D,2,FALSE),D242)</f>
        <v>170.94</v>
      </c>
      <c r="E243">
        <f>_xlfn.IFNA(VLOOKUP(B243,Price_Data!E:F,2,FALSE),E242)</f>
        <v>476.12</v>
      </c>
      <c r="F243" s="9">
        <f>SUMPRODUCT(C243:E243,Portfolio_Input!$C$5:$E$5)</f>
        <v>36918.300000000003</v>
      </c>
      <c r="G243">
        <f t="shared" si="3"/>
        <v>-6.1178256884067972E-3</v>
      </c>
    </row>
    <row r="244" spans="2:7" x14ac:dyDescent="0.3">
      <c r="B244" s="7">
        <v>46009</v>
      </c>
      <c r="C244">
        <f>_xlfn.IFNA(VLOOKUP(B244,Price_Data!A:B,2,FALSE),C243)</f>
        <v>272.19</v>
      </c>
      <c r="D244">
        <f>_xlfn.IFNA(VLOOKUP(B244,Price_Data!C:D,2,FALSE),D243)</f>
        <v>174.14</v>
      </c>
      <c r="E244">
        <f>_xlfn.IFNA(VLOOKUP(B244,Price_Data!E:F,2,FALSE),E243)</f>
        <v>483.98</v>
      </c>
      <c r="F244" s="9">
        <f>SUMPRODUCT(C244:E244,Portfolio_Input!$C$5:$E$5)</f>
        <v>37475.15</v>
      </c>
      <c r="G244">
        <f t="shared" si="3"/>
        <v>1.508330556932469E-2</v>
      </c>
    </row>
    <row r="245" spans="2:7" x14ac:dyDescent="0.3">
      <c r="B245" s="7">
        <v>46010</v>
      </c>
      <c r="C245">
        <f>_xlfn.IFNA(VLOOKUP(B245,Price_Data!A:B,2,FALSE),C244)</f>
        <v>273.67</v>
      </c>
      <c r="D245">
        <f>_xlfn.IFNA(VLOOKUP(B245,Price_Data!C:D,2,FALSE),D244)</f>
        <v>180.99</v>
      </c>
      <c r="E245">
        <f>_xlfn.IFNA(VLOOKUP(B245,Price_Data!E:F,2,FALSE),E244)</f>
        <v>485.92</v>
      </c>
      <c r="F245" s="9">
        <f>SUMPRODUCT(C245:E245,Portfolio_Input!$C$5:$E$5)</f>
        <v>37785</v>
      </c>
      <c r="G245">
        <f t="shared" si="3"/>
        <v>8.2681456912112594E-3</v>
      </c>
    </row>
    <row r="246" spans="2:7" x14ac:dyDescent="0.3">
      <c r="B246" s="7">
        <v>46013</v>
      </c>
      <c r="C246">
        <f>_xlfn.IFNA(VLOOKUP(B246,Price_Data!A:B,2,FALSE),C245)</f>
        <v>270.97000000000003</v>
      </c>
      <c r="D246">
        <f>_xlfn.IFNA(VLOOKUP(B246,Price_Data!C:D,2,FALSE),D245)</f>
        <v>183.69</v>
      </c>
      <c r="E246">
        <f>_xlfn.IFNA(VLOOKUP(B246,Price_Data!E:F,2,FALSE),E245)</f>
        <v>484.92</v>
      </c>
      <c r="F246" s="9">
        <f>SUMPRODUCT(C246:E246,Portfolio_Input!$C$5:$E$5)</f>
        <v>37752</v>
      </c>
      <c r="G246">
        <f t="shared" si="3"/>
        <v>-8.7336244541480479E-4</v>
      </c>
    </row>
    <row r="247" spans="2:7" x14ac:dyDescent="0.3">
      <c r="B247" s="7">
        <v>46014</v>
      </c>
      <c r="C247">
        <f>_xlfn.IFNA(VLOOKUP(B247,Price_Data!A:B,2,FALSE),C246)</f>
        <v>272.36</v>
      </c>
      <c r="D247">
        <f>_xlfn.IFNA(VLOOKUP(B247,Price_Data!C:D,2,FALSE),D246)</f>
        <v>189.21</v>
      </c>
      <c r="E247">
        <f>_xlfn.IFNA(VLOOKUP(B247,Price_Data!E:F,2,FALSE),E246)</f>
        <v>486.85</v>
      </c>
      <c r="F247" s="9">
        <f>SUMPRODUCT(C247:E247,Portfolio_Input!$C$5:$E$5)</f>
        <v>38026.65</v>
      </c>
      <c r="G247">
        <f t="shared" si="3"/>
        <v>7.2751112523841144E-3</v>
      </c>
    </row>
    <row r="248" spans="2:7" x14ac:dyDescent="0.3">
      <c r="B248" s="7">
        <v>46015</v>
      </c>
      <c r="C248">
        <f>_xlfn.IFNA(VLOOKUP(B248,Price_Data!A:B,2,FALSE),C247)</f>
        <v>273.81</v>
      </c>
      <c r="D248">
        <f>_xlfn.IFNA(VLOOKUP(B248,Price_Data!C:D,2,FALSE),D247)</f>
        <v>188.61</v>
      </c>
      <c r="E248">
        <f>_xlfn.IFNA(VLOOKUP(B248,Price_Data!E:F,2,FALSE),E247)</f>
        <v>488.02</v>
      </c>
      <c r="F248" s="9">
        <f>SUMPRODUCT(C248:E248,Portfolio_Input!$C$5:$E$5)</f>
        <v>38103.599999999999</v>
      </c>
      <c r="G248">
        <f t="shared" si="3"/>
        <v>2.0235808308119996E-3</v>
      </c>
    </row>
    <row r="249" spans="2:7" x14ac:dyDescent="0.3">
      <c r="B249" s="7">
        <v>46017</v>
      </c>
      <c r="C249">
        <f>_xlfn.IFNA(VLOOKUP(B249,Price_Data!A:B,2,FALSE),C248)</f>
        <v>273.39999999999998</v>
      </c>
      <c r="D249">
        <f>_xlfn.IFNA(VLOOKUP(B249,Price_Data!C:D,2,FALSE),D248)</f>
        <v>190.53</v>
      </c>
      <c r="E249">
        <f>_xlfn.IFNA(VLOOKUP(B249,Price_Data!E:F,2,FALSE),E248)</f>
        <v>487.71</v>
      </c>
      <c r="F249" s="9">
        <f>SUMPRODUCT(C249:E249,Portfolio_Input!$C$5:$E$5)</f>
        <v>38126.85</v>
      </c>
      <c r="G249">
        <f t="shared" si="3"/>
        <v>6.1017856580480867E-4</v>
      </c>
    </row>
    <row r="250" spans="2:7" x14ac:dyDescent="0.3">
      <c r="B250" s="7">
        <v>46020</v>
      </c>
      <c r="C250">
        <f>_xlfn.IFNA(VLOOKUP(B250,Price_Data!A:B,2,FALSE),C249)</f>
        <v>273.76</v>
      </c>
      <c r="D250">
        <f>_xlfn.IFNA(VLOOKUP(B250,Price_Data!C:D,2,FALSE),D249)</f>
        <v>188.22</v>
      </c>
      <c r="E250">
        <f>_xlfn.IFNA(VLOOKUP(B250,Price_Data!E:F,2,FALSE),E249)</f>
        <v>487.1</v>
      </c>
      <c r="F250" s="9">
        <f>SUMPRODUCT(C250:E250,Portfolio_Input!$C$5:$E$5)</f>
        <v>38037.9</v>
      </c>
      <c r="G250">
        <f t="shared" si="3"/>
        <v>-2.3330015461544562E-3</v>
      </c>
    </row>
    <row r="251" spans="2:7" x14ac:dyDescent="0.3">
      <c r="B251" s="7">
        <v>46021</v>
      </c>
      <c r="C251">
        <f>_xlfn.IFNA(VLOOKUP(B251,Price_Data!A:B,2,FALSE),C250)</f>
        <v>273.08</v>
      </c>
      <c r="D251">
        <f>_xlfn.IFNA(VLOOKUP(B251,Price_Data!C:D,2,FALSE),D250)</f>
        <v>187.54</v>
      </c>
      <c r="E251">
        <f>_xlfn.IFNA(VLOOKUP(B251,Price_Data!E:F,2,FALSE),E250)</f>
        <v>487.48</v>
      </c>
      <c r="F251" s="9">
        <f>SUMPRODUCT(C251:E251,Portfolio_Input!$C$5:$E$5)</f>
        <v>38033.5</v>
      </c>
      <c r="G251">
        <f t="shared" si="3"/>
        <v>-1.1567410398583E-4</v>
      </c>
    </row>
    <row r="252" spans="2:7" x14ac:dyDescent="0.3">
      <c r="B252" s="7">
        <v>46022</v>
      </c>
      <c r="C252">
        <f>_xlfn.IFNA(VLOOKUP(B252,Price_Data!A:B,2,FALSE),C251)</f>
        <v>271.86</v>
      </c>
      <c r="D252">
        <f>_xlfn.IFNA(VLOOKUP(B252,Price_Data!C:D,2,FALSE),D251)</f>
        <v>186.5</v>
      </c>
      <c r="E252">
        <f>_xlfn.IFNA(VLOOKUP(B252,Price_Data!E:F,2,FALSE),E251)</f>
        <v>483.62</v>
      </c>
      <c r="F252" s="9">
        <f>SUMPRODUCT(C252:E252,Portfolio_Input!$C$5:$E$5)</f>
        <v>37757.599999999999</v>
      </c>
      <c r="G252">
        <f t="shared" si="3"/>
        <v>-7.2541312264188251E-3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21E78-D31D-D14A-A219-85AB08F1DC59}">
  <sheetPr codeName="Sheet5"/>
  <dimension ref="A1:E14"/>
  <sheetViews>
    <sheetView workbookViewId="0">
      <selection activeCell="C6" sqref="C6"/>
    </sheetView>
  </sheetViews>
  <sheetFormatPr defaultColWidth="11" defaultRowHeight="15.6" x14ac:dyDescent="0.3"/>
  <cols>
    <col min="2" max="2" width="38.19921875" bestFit="1" customWidth="1"/>
  </cols>
  <sheetData>
    <row r="1" spans="1:5" x14ac:dyDescent="0.3">
      <c r="C1" t="s">
        <v>162</v>
      </c>
      <c r="D1" t="s">
        <v>163</v>
      </c>
      <c r="E1" t="s">
        <v>164</v>
      </c>
    </row>
    <row r="2" spans="1:5" x14ac:dyDescent="0.3">
      <c r="B2" s="2" t="s">
        <v>167</v>
      </c>
      <c r="C2" s="8">
        <f>AVERAGE(Returns!B:B)*252</f>
        <v>0.16191544473614433</v>
      </c>
      <c r="D2" s="8">
        <f>AVERAGE(Returns!D:D)*252</f>
        <v>0.43103583361610714</v>
      </c>
      <c r="E2" s="8">
        <f>AVERAGE(Returns!F:F)*252</f>
        <v>0.1752765767889104</v>
      </c>
    </row>
    <row r="3" spans="1:5" x14ac:dyDescent="0.3">
      <c r="B3" s="2" t="s">
        <v>168</v>
      </c>
      <c r="C3" s="8">
        <f>_xlfn.STDEV.P(Returns!B:B)*SQRT(252)</f>
        <v>0.32407235378676619</v>
      </c>
      <c r="D3" s="8">
        <f>_xlfn.STDEV.P(Returns!D:D)*SQRT(252)</f>
        <v>0.49803252138782594</v>
      </c>
      <c r="E3" s="8">
        <f>_xlfn.STDEV.P(Returns!F:F)*SQRT(252)</f>
        <v>0.24261876613924446</v>
      </c>
    </row>
    <row r="4" spans="1:5" x14ac:dyDescent="0.3">
      <c r="B4" s="2" t="s">
        <v>165</v>
      </c>
      <c r="C4" s="8">
        <f>AVERAGE(PortfolioReturn!G:G)*252</f>
        <v>0.19031817307371662</v>
      </c>
    </row>
    <row r="5" spans="1:5" x14ac:dyDescent="0.3">
      <c r="A5" t="s">
        <v>172</v>
      </c>
      <c r="B5" s="2" t="s">
        <v>166</v>
      </c>
      <c r="C5" s="8">
        <f>_xlfn.STDEV.P(PortfolioReturn!G:G)*SQRT(252)</f>
        <v>0.24702650550712224</v>
      </c>
    </row>
    <row r="6" spans="1:5" x14ac:dyDescent="0.3">
      <c r="B6" s="1"/>
    </row>
    <row r="7" spans="1:5" x14ac:dyDescent="0.3">
      <c r="B7" s="1"/>
    </row>
    <row r="8" spans="1:5" x14ac:dyDescent="0.3">
      <c r="B8" s="1"/>
    </row>
    <row r="9" spans="1:5" x14ac:dyDescent="0.3">
      <c r="B9" s="1"/>
    </row>
    <row r="10" spans="1:5" x14ac:dyDescent="0.3">
      <c r="B10" s="1"/>
    </row>
    <row r="11" spans="1:5" x14ac:dyDescent="0.3">
      <c r="B11" s="1"/>
    </row>
    <row r="12" spans="1:5" x14ac:dyDescent="0.3">
      <c r="B12" s="1"/>
    </row>
    <row r="13" spans="1:5" x14ac:dyDescent="0.3">
      <c r="B13" s="1"/>
    </row>
    <row r="14" spans="1:5" x14ac:dyDescent="0.3">
      <c r="B1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Portfolio_Input</vt:lpstr>
      <vt:lpstr>Price_Data</vt:lpstr>
      <vt:lpstr>Returns</vt:lpstr>
      <vt:lpstr>PortfolioReturn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Aylin Rym</dc:creator>
  <cp:keywords/>
  <dc:description/>
  <cp:lastModifiedBy>Alan Rymov</cp:lastModifiedBy>
  <cp:revision/>
  <dcterms:created xsi:type="dcterms:W3CDTF">2026-01-10T19:13:28Z</dcterms:created>
  <dcterms:modified xsi:type="dcterms:W3CDTF">2026-01-11T03:25:14Z</dcterms:modified>
  <cp:category/>
  <cp:contentStatus/>
</cp:coreProperties>
</file>